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shafi\"/>
    </mc:Choice>
  </mc:AlternateContent>
  <xr:revisionPtr revIDLastSave="0" documentId="13_ncr:1_{B48E4510-629A-4E29-AE58-4832B5E5151B}" xr6:coauthVersionLast="47" xr6:coauthVersionMax="47" xr10:uidLastSave="{00000000-0000-0000-0000-000000000000}"/>
  <bookViews>
    <workbookView xWindow="-120" yWindow="-120" windowWidth="19620" windowHeight="11760" activeTab="5" xr2:uid="{00000000-000D-0000-FFFF-FFFF00000000}"/>
  </bookViews>
  <sheets>
    <sheet name="ABOUT" sheetId="12" r:id="rId1"/>
    <sheet name="SALESMAN" sheetId="11" r:id="rId2"/>
    <sheet name="PRODUCT" sheetId="10" r:id="rId3"/>
    <sheet name="DASHBOARD" sheetId="3" r:id="rId4"/>
    <sheet name="Sheet4" sheetId="13" r:id="rId5"/>
    <sheet name="PIVOT TABLE" sheetId="6" r:id="rId6"/>
    <sheet name="Sheet1" sheetId="1" r:id="rId7"/>
  </sheets>
  <definedNames>
    <definedName name="_xlcn.WorksheetConnection_Sheet1A1H367" hidden="1">Sheet1!$A$1:$H$367</definedName>
    <definedName name="ExternalData_1" localSheetId="4" hidden="1">Sheet4!$A$3:$L$369</definedName>
    <definedName name="Slicer_Item">#N/A</definedName>
    <definedName name="Slicer_Region">#N/A</definedName>
  </definedNames>
  <calcPr calcId="191029"/>
  <pivotCaches>
    <pivotCache cacheId="35" r:id="rId8"/>
    <pivotCache cacheId="36" r:id="rId9"/>
    <pivotCache cacheId="37" r:id="rId10"/>
    <pivotCache cacheId="38" r:id="rId11"/>
    <pivotCache cacheId="39" r:id="rId12"/>
    <pivotCache cacheId="40" r:id="rId13"/>
    <pivotCache cacheId="41" r:id="rId14"/>
    <pivotCache cacheId="42" r:id="rId15"/>
    <pivotCache cacheId="43" r:id="rId16"/>
    <pivotCache cacheId="44" r:id="rId17"/>
    <pivotCache cacheId="45" r:id="rId18"/>
  </pivotCaches>
  <extLst>
    <ext xmlns:x14="http://schemas.microsoft.com/office/spreadsheetml/2009/9/main" uri="{876F7934-8845-4945-9796-88D515C7AA90}">
      <x14:pivotCaches>
        <pivotCache cacheId="46"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H$367"/>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0" i="6" l="1"/>
  <c r="T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A7BEB-E25B-4876-A7A6-65EA5ADD681F}" keepAlive="1" name="ModelConnection_ExternalData_1" description="Data Model" type="5" refreshedVersion="8" minRefreshableVersion="5" saveData="1">
    <dbPr connection="Data Model Connection" command="DRILLTHROUGH MAXROWS 1000 SELECT FROM [Model] WHERE ([Range].[Region].[All],[Measures].[Sum of Amount]) RETURN [$Range].[S No],[$Range].[Date],[$Range].[Salesman],[$Range].[Region],[$Range].[Item],[$Range].[Qty],[$Range].[Price],[$Range].[Amount],[$Range].[Date (Year)],[$Range].[Date (Quarter)],[$Range].[Date (Month)],[$Range].[Date (Month Index)]" commandType="4"/>
    <extLst>
      <ext xmlns:x15="http://schemas.microsoft.com/office/spreadsheetml/2010/11/main" uri="{DE250136-89BD-433C-8126-D09CA5730AF9}">
        <x15:connection id="" model="1"/>
      </ext>
    </extLst>
  </connection>
  <connection id="2" xr16:uid="{DC557B60-A98B-49B8-9195-084F7B9281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7F93DA4-D861-4F18-9579-646A60ECDE0C}" name="WorksheetConnection_Sheet1!$A$1:$H$367" type="102" refreshedVersion="8" minRefreshableVersion="5">
    <extLst>
      <ext xmlns:x15="http://schemas.microsoft.com/office/spreadsheetml/2010/11/main" uri="{DE250136-89BD-433C-8126-D09CA5730AF9}">
        <x15:connection id="Range" autoDelete="1">
          <x15:rangePr sourceName="_xlcn.WorksheetConnection_Sheet1A1H367"/>
        </x15:connection>
      </ext>
    </extLst>
  </connection>
</connections>
</file>

<file path=xl/sharedStrings.xml><?xml version="1.0" encoding="utf-8"?>
<sst xmlns="http://schemas.openxmlformats.org/spreadsheetml/2006/main" count="3398" uniqueCount="62">
  <si>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</si>
  <si>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</si>
  <si>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</si>
  <si>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</si>
  <si>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</si>
  <si>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</si>
  <si>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</si>
  <si>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</si>
  <si>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</si>
  <si>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</si>
  <si>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</si>
  <si>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</si>
  <si>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</si>
  <si>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</si>
  <si>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</si>
  <si>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</si>
  <si>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</si>
  <si>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</si>
  <si>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</si>
  <si>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</si>
  <si>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</si>
  <si>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</si>
  <si>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</si>
  <si>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</si>
  <si>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</si>
  <si>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</si>
  <si>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</si>
  <si>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</si>
  <si>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</si>
  <si>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</si>
  <si>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</si>
  <si>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</si>
  <si>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</si>
  <si>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</si>
  <si>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</si>
  <si>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</si>
  <si>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</si>
  <si>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</si>
  <si>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</si>
  <si>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 xml:space="preserve"> </t>
  </si>
  <si>
    <t>Sum of Qty</t>
  </si>
  <si>
    <t>Count of Amount</t>
  </si>
  <si>
    <t>Range[S No]</t>
  </si>
  <si>
    <t>Range[Date]</t>
  </si>
  <si>
    <t>Range[Salesman]</t>
  </si>
  <si>
    <t>Range[Region]</t>
  </si>
  <si>
    <t>Range[Item]</t>
  </si>
  <si>
    <t>Range[Qty]</t>
  </si>
  <si>
    <t>Range[Price]</t>
  </si>
  <si>
    <t>Range[Amount]</t>
  </si>
  <si>
    <t>Range[Date (Year)]</t>
  </si>
  <si>
    <t>Range[Date (Quarter)]</t>
  </si>
  <si>
    <t>Range[Date (Month)]</t>
  </si>
  <si>
    <t>Range[Date (Month Index)]</t>
  </si>
  <si>
    <t>2021</t>
  </si>
  <si>
    <t>Qtr1</t>
  </si>
  <si>
    <t>Qtr2</t>
  </si>
  <si>
    <t>Qtr3</t>
  </si>
  <si>
    <t>Qtr4</t>
  </si>
  <si>
    <t>2022</t>
  </si>
  <si>
    <t>Data returned for Sum of Amount, All (First 1000 rows).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</si>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</sst>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1" fillId="0" borderId="0" xfId="0" applyFont="1"/>
    <xf numFmtId="0" fontId="1" fillId="0" borderId="0" xfId="0" pivotButton="1" applyFont="1"/>
    <xf numFmtId="0" fontId="1" fillId="0" borderId="0" xfId="0" applyFont="1" applyAlignment="1">
      <alignment horizontal="left"/>
    </xf>
    <xf numFmtId="164" fontId="0" fillId="0" borderId="0" xfId="0" applyNumberFormat="1"/>
    <xf numFmtId="10" fontId="0" fillId="0" borderId="0" xfId="0" applyNumberFormat="1"/>
  </cellXfs>
  <cellStyles count="1">
    <cellStyle name="Normal" xfId="0" builtinId="0"/>
  </cellStyles>
  <dxfs count="7">
    <dxf>
      <font>
        <b/>
      </font>
    </dxf>
    <dxf>
      <font>
        <b/>
      </font>
    </dxf>
    <dxf>
      <font>
        <b/>
      </font>
    </dxf>
    <dxf>
      <font>
        <b/>
      </font>
    </dxf>
    <dxf>
      <font>
        <b/>
      </font>
    </dxf>
    <dxf>
      <font>
        <b/>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TABLE!PivotTable1</c:name>
    <c:fmtId val="14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Salesman performance</a:t>
            </a:r>
          </a:p>
        </c:rich>
      </c:tx>
      <c:layout>
        <c:manualLayout>
          <c:xMode val="edge"/>
          <c:yMode val="edge"/>
          <c:x val="9.2344706911636149E-4"/>
          <c:y val="4.237086273764996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20078740157491E-2"/>
          <c:y val="0.14807426849421598"/>
          <c:w val="0.82664807524059492"/>
          <c:h val="0.73242811315252265"/>
        </c:manualLayout>
      </c:layout>
      <c:barChart>
        <c:barDir val="col"/>
        <c:grouping val="clustered"/>
        <c:varyColors val="0"/>
        <c:ser>
          <c:idx val="0"/>
          <c:order val="0"/>
          <c:tx>
            <c:strRef>
              <c:f>'PIVOT TABLE'!$AK$12</c:f>
              <c:strCache>
                <c:ptCount val="1"/>
                <c:pt idx="0">
                  <c:v>Total</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TABLE'!$AJ$13:$AJ$19</c:f>
              <c:strCache>
                <c:ptCount val="6"/>
                <c:pt idx="0">
                  <c:v>Ajit Kumar</c:v>
                </c:pt>
                <c:pt idx="1">
                  <c:v>Amit</c:v>
                </c:pt>
                <c:pt idx="2">
                  <c:v>Chandu</c:v>
                </c:pt>
                <c:pt idx="3">
                  <c:v>Ramesh</c:v>
                </c:pt>
                <c:pt idx="4">
                  <c:v>Rohit Das</c:v>
                </c:pt>
                <c:pt idx="5">
                  <c:v>Siddhu</c:v>
                </c:pt>
              </c:strCache>
            </c:strRef>
          </c:cat>
          <c:val>
            <c:numRef>
              <c:f>'PIVOT TABLE'!$AK$13:$AK$19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8D8F-44EE-B37F-548BA8243FB2}"/>
            </c:ext>
          </c:extLst>
        </c:ser>
        <c:dLbls>
          <c:dLblPos val="outEnd"/>
          <c:showLegendKey val="0"/>
          <c:showVal val="1"/>
          <c:showCatName val="0"/>
          <c:showSerName val="0"/>
          <c:showPercent val="0"/>
          <c:showBubbleSize val="0"/>
        </c:dLbls>
        <c:gapWidth val="269"/>
        <c:overlap val="-20"/>
        <c:axId val="1772590688"/>
        <c:axId val="1211202912"/>
      </c:barChart>
      <c:catAx>
        <c:axId val="1772590688"/>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11202912"/>
        <c:crosses val="autoZero"/>
        <c:auto val="1"/>
        <c:lblAlgn val="ctr"/>
        <c:lblOffset val="100"/>
        <c:noMultiLvlLbl val="0"/>
      </c:catAx>
      <c:valAx>
        <c:axId val="121120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725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TABLE!PivotTable7</c:name>
    <c:fmtId val="1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 top performing salesman</a:t>
            </a:r>
          </a:p>
        </c:rich>
      </c:tx>
      <c:layout>
        <c:manualLayout>
          <c:xMode val="edge"/>
          <c:yMode val="edge"/>
          <c:x val="1.006933508311461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TABLE'!$AU$10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TABLE'!$AT$11:$AT$14</c:f>
              <c:strCache>
                <c:ptCount val="3"/>
                <c:pt idx="0">
                  <c:v>Ajit Kumar</c:v>
                </c:pt>
                <c:pt idx="1">
                  <c:v>Rohit Das</c:v>
                </c:pt>
                <c:pt idx="2">
                  <c:v>Siddhu</c:v>
                </c:pt>
              </c:strCache>
            </c:strRef>
          </c:cat>
          <c:val>
            <c:numRef>
              <c:f>'PIVOT TABLE'!$AU$11:$AU$14</c:f>
              <c:numCache>
                <c:formatCode>General</c:formatCode>
                <c:ptCount val="3"/>
                <c:pt idx="0">
                  <c:v>386030</c:v>
                </c:pt>
                <c:pt idx="1">
                  <c:v>394410</c:v>
                </c:pt>
                <c:pt idx="2">
                  <c:v>551960</c:v>
                </c:pt>
              </c:numCache>
            </c:numRef>
          </c:val>
          <c:extLst>
            <c:ext xmlns:c16="http://schemas.microsoft.com/office/drawing/2014/chart" uri="{C3380CC4-5D6E-409C-BE32-E72D297353CC}">
              <c16:uniqueId val="{00000000-ABBB-4C61-8D81-CC0BFC7D6550}"/>
            </c:ext>
          </c:extLst>
        </c:ser>
        <c:dLbls>
          <c:showLegendKey val="0"/>
          <c:showVal val="0"/>
          <c:showCatName val="0"/>
          <c:showSerName val="0"/>
          <c:showPercent val="0"/>
          <c:showBubbleSize val="0"/>
        </c:dLbls>
        <c:gapWidth val="182"/>
        <c:axId val="1785858096"/>
        <c:axId val="1127769856"/>
      </c:barChart>
      <c:catAx>
        <c:axId val="178585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69856"/>
        <c:crosses val="autoZero"/>
        <c:auto val="1"/>
        <c:lblAlgn val="ctr"/>
        <c:lblOffset val="100"/>
        <c:noMultiLvlLbl val="0"/>
      </c:catAx>
      <c:valAx>
        <c:axId val="1127769856"/>
        <c:scaling>
          <c:orientation val="minMax"/>
        </c:scaling>
        <c:delete val="1"/>
        <c:axPos val="b"/>
        <c:numFmt formatCode="General" sourceLinked="1"/>
        <c:majorTickMark val="none"/>
        <c:minorTickMark val="none"/>
        <c:tickLblPos val="nextTo"/>
        <c:crossAx val="178585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TABLE!PivotTable9</c:name>
    <c:fmtId val="15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3 poor performing salesman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TABLE'!$AZ$10</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TABLE'!$AY$11:$AY$14</c:f>
              <c:strCache>
                <c:ptCount val="3"/>
                <c:pt idx="0">
                  <c:v>Ramesh</c:v>
                </c:pt>
                <c:pt idx="1">
                  <c:v>Chandu</c:v>
                </c:pt>
                <c:pt idx="2">
                  <c:v>Amit</c:v>
                </c:pt>
              </c:strCache>
            </c:strRef>
          </c:cat>
          <c:val>
            <c:numRef>
              <c:f>'PIVOT TABLE'!$AZ$11:$AZ$14</c:f>
              <c:numCache>
                <c:formatCode>General</c:formatCode>
                <c:ptCount val="3"/>
                <c:pt idx="0">
                  <c:v>139880</c:v>
                </c:pt>
                <c:pt idx="1">
                  <c:v>125600</c:v>
                </c:pt>
                <c:pt idx="2">
                  <c:v>184690</c:v>
                </c:pt>
              </c:numCache>
            </c:numRef>
          </c:val>
          <c:extLst>
            <c:ext xmlns:c16="http://schemas.microsoft.com/office/drawing/2014/chart" uri="{C3380CC4-5D6E-409C-BE32-E72D297353CC}">
              <c16:uniqueId val="{00000000-2070-4165-97B3-0FD3B46D6D4A}"/>
            </c:ext>
          </c:extLst>
        </c:ser>
        <c:dLbls>
          <c:showLegendKey val="0"/>
          <c:showVal val="0"/>
          <c:showCatName val="0"/>
          <c:showSerName val="0"/>
          <c:showPercent val="0"/>
          <c:showBubbleSize val="0"/>
        </c:dLbls>
        <c:gapWidth val="227"/>
        <c:overlap val="-48"/>
        <c:axId val="1755328720"/>
        <c:axId val="1081114144"/>
      </c:barChart>
      <c:catAx>
        <c:axId val="175532872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14144"/>
        <c:crosses val="autoZero"/>
        <c:auto val="1"/>
        <c:lblAlgn val="ctr"/>
        <c:lblOffset val="100"/>
        <c:noMultiLvlLbl val="0"/>
      </c:catAx>
      <c:valAx>
        <c:axId val="1081114144"/>
        <c:scaling>
          <c:orientation val="minMax"/>
        </c:scaling>
        <c:delete val="1"/>
        <c:axPos val="b"/>
        <c:numFmt formatCode="General" sourceLinked="1"/>
        <c:majorTickMark val="none"/>
        <c:minorTickMark val="none"/>
        <c:tickLblPos val="nextTo"/>
        <c:crossAx val="175532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TABLE!PivotTable4</c:name>
    <c:fmtId val="8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 of product By Qty</a:t>
            </a:r>
          </a:p>
          <a:p>
            <a:pPr>
              <a:defRPr/>
            </a:pPr>
            <a:endParaRPr lang="en-IN"/>
          </a:p>
        </c:rich>
      </c:tx>
      <c:layout>
        <c:manualLayout>
          <c:xMode val="edge"/>
          <c:yMode val="edge"/>
          <c:x val="1.9217060954628998E-2"/>
          <c:y val="2.124833997343957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TABLE'!$Q$13</c:f>
              <c:strCache>
                <c:ptCount val="1"/>
                <c:pt idx="0">
                  <c:v>Total</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TABLE'!$P$14:$P$20</c:f>
              <c:strCache>
                <c:ptCount val="6"/>
                <c:pt idx="0">
                  <c:v>Keyboard</c:v>
                </c:pt>
                <c:pt idx="1">
                  <c:v>Monitor</c:v>
                </c:pt>
                <c:pt idx="2">
                  <c:v>Mouse</c:v>
                </c:pt>
                <c:pt idx="3">
                  <c:v>Printer</c:v>
                </c:pt>
                <c:pt idx="4">
                  <c:v>Scanner</c:v>
                </c:pt>
                <c:pt idx="5">
                  <c:v>Speaker</c:v>
                </c:pt>
              </c:strCache>
            </c:strRef>
          </c:cat>
          <c:val>
            <c:numRef>
              <c:f>'PIVOT TABLE'!$Q$14:$Q$20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5E1-4325-908C-A80127B2EB74}"/>
            </c:ext>
          </c:extLst>
        </c:ser>
        <c:dLbls>
          <c:dLblPos val="outEnd"/>
          <c:showLegendKey val="0"/>
          <c:showVal val="1"/>
          <c:showCatName val="0"/>
          <c:showSerName val="0"/>
          <c:showPercent val="0"/>
          <c:showBubbleSize val="0"/>
        </c:dLbls>
        <c:gapWidth val="269"/>
        <c:overlap val="-20"/>
        <c:axId val="1072257040"/>
        <c:axId val="1098815712"/>
      </c:barChart>
      <c:catAx>
        <c:axId val="1072257040"/>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98815712"/>
        <c:crosses val="autoZero"/>
        <c:auto val="1"/>
        <c:lblAlgn val="ctr"/>
        <c:lblOffset val="100"/>
        <c:noMultiLvlLbl val="0"/>
      </c:catAx>
      <c:valAx>
        <c:axId val="109881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22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TABLE!PivotTable6</c:name>
    <c:fmtId val="10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selling products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A3A2F4-3B9D-4662-ADD6-FD60D1AF5735}" type="VALUE">
                  <a:rPr lang="en-US" sz="1100"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341E36-D5A6-4787-A9E7-AD88FC7C4F9D}"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A798C9-D52C-403B-A035-2D8BB2961FDE}"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7143FE-79A4-4622-8ADF-5A24C4E7F953}"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F3A5A8-7FEC-4745-9E95-471F4CC6C4F9}" type="VALUE">
                  <a:rPr lang="en-US" sz="1100">
                    <a:solidFill>
                      <a:schemeClr val="tx1">
                        <a:lumMod val="95000"/>
                        <a:lumOff val="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906A97-D6DE-4918-84EA-8AF08627EDE8}" type="VALUE">
                  <a:rPr lang="en-US" sz="1100">
                    <a:solidFill>
                      <a:schemeClr val="tx1">
                        <a:lumMod val="95000"/>
                        <a:lumOff val="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7816946506941215"/>
          <c:y val="0.3413157045208921"/>
          <c:w val="0.55249715660542431"/>
          <c:h val="0.42910662905104774"/>
        </c:manualLayout>
      </c:layout>
      <c:barChart>
        <c:barDir val="bar"/>
        <c:grouping val="clustered"/>
        <c:varyColors val="0"/>
        <c:ser>
          <c:idx val="0"/>
          <c:order val="0"/>
          <c:tx>
            <c:strRef>
              <c:f>'PIVOT TABLE'!$AA$13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1B9E-4F6E-A659-7B0B3C26CE27}"/>
              </c:ext>
            </c:extLst>
          </c:dPt>
          <c:dPt>
            <c:idx val="1"/>
            <c:invertIfNegative val="0"/>
            <c:bubble3D val="0"/>
            <c:extLst>
              <c:ext xmlns:c16="http://schemas.microsoft.com/office/drawing/2014/chart" uri="{C3380CC4-5D6E-409C-BE32-E72D297353CC}">
                <c16:uniqueId val="{00000004-1B9E-4F6E-A659-7B0B3C26CE27}"/>
              </c:ext>
            </c:extLst>
          </c:dPt>
          <c:dPt>
            <c:idx val="2"/>
            <c:invertIfNegative val="0"/>
            <c:bubble3D val="0"/>
            <c:extLst>
              <c:ext xmlns:c16="http://schemas.microsoft.com/office/drawing/2014/chart" uri="{C3380CC4-5D6E-409C-BE32-E72D297353CC}">
                <c16:uniqueId val="{00000003-1B9E-4F6E-A659-7B0B3C26CE27}"/>
              </c:ext>
            </c:extLst>
          </c:dPt>
          <c:dPt>
            <c:idx val="3"/>
            <c:invertIfNegative val="0"/>
            <c:bubble3D val="0"/>
            <c:extLst>
              <c:ext xmlns:c16="http://schemas.microsoft.com/office/drawing/2014/chart" uri="{C3380CC4-5D6E-409C-BE32-E72D297353CC}">
                <c16:uniqueId val="{00000002-1B9E-4F6E-A659-7B0B3C26CE27}"/>
              </c:ext>
            </c:extLst>
          </c:dPt>
          <c:dPt>
            <c:idx val="4"/>
            <c:invertIfNegative val="0"/>
            <c:bubble3D val="0"/>
            <c:extLst>
              <c:ext xmlns:c16="http://schemas.microsoft.com/office/drawing/2014/chart" uri="{C3380CC4-5D6E-409C-BE32-E72D297353CC}">
                <c16:uniqueId val="{00000001-1B9E-4F6E-A659-7B0B3C26CE27}"/>
              </c:ext>
            </c:extLst>
          </c:dPt>
          <c:dPt>
            <c:idx val="5"/>
            <c:invertIfNegative val="0"/>
            <c:bubble3D val="0"/>
            <c:extLst>
              <c:ext xmlns:c16="http://schemas.microsoft.com/office/drawing/2014/chart" uri="{C3380CC4-5D6E-409C-BE32-E72D297353CC}">
                <c16:uniqueId val="{00000000-1B9E-4F6E-A659-7B0B3C26CE27}"/>
              </c:ext>
            </c:extLst>
          </c:dPt>
          <c:dLbls>
            <c:dLbl>
              <c:idx val="0"/>
              <c:tx>
                <c:rich>
                  <a:bodyPr/>
                  <a:lstStyle/>
                  <a:p>
                    <a:fld id="{5E906A97-D6DE-4918-84EA-8AF08627EDE8}" type="VALUE">
                      <a:rPr lang="en-US" sz="1100">
                        <a:solidFill>
                          <a:schemeClr val="tx1">
                            <a:lumMod val="95000"/>
                            <a:lumOff val="5000"/>
                          </a:schemeClr>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B9E-4F6E-A659-7B0B3C26CE27}"/>
                </c:ext>
              </c:extLst>
            </c:dLbl>
            <c:dLbl>
              <c:idx val="1"/>
              <c:tx>
                <c:rich>
                  <a:bodyPr/>
                  <a:lstStyle/>
                  <a:p>
                    <a:fld id="{A4F3A5A8-7FEC-4745-9E95-471F4CC6C4F9}" type="VALUE">
                      <a:rPr lang="en-US" sz="1100">
                        <a:solidFill>
                          <a:schemeClr val="tx1">
                            <a:lumMod val="95000"/>
                            <a:lumOff val="5000"/>
                          </a:schemeClr>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B9E-4F6E-A659-7B0B3C26CE27}"/>
                </c:ext>
              </c:extLst>
            </c:dLbl>
            <c:dLbl>
              <c:idx val="2"/>
              <c:tx>
                <c:rich>
                  <a:bodyPr/>
                  <a:lstStyle/>
                  <a:p>
                    <a:fld id="{187143FE-79A4-4622-8ADF-5A24C4E7F953}" type="VALUE">
                      <a:rPr lang="en-US" sz="1100">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B9E-4F6E-A659-7B0B3C26CE27}"/>
                </c:ext>
              </c:extLst>
            </c:dLbl>
            <c:dLbl>
              <c:idx val="3"/>
              <c:tx>
                <c:rich>
                  <a:bodyPr/>
                  <a:lstStyle/>
                  <a:p>
                    <a:fld id="{C2A798C9-D52C-403B-A035-2D8BB2961FDE}" type="VALUE">
                      <a:rPr lang="en-US" sz="1100">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B9E-4F6E-A659-7B0B3C26CE27}"/>
                </c:ext>
              </c:extLst>
            </c:dLbl>
            <c:dLbl>
              <c:idx val="4"/>
              <c:tx>
                <c:rich>
                  <a:bodyPr/>
                  <a:lstStyle/>
                  <a:p>
                    <a:fld id="{FA341E36-D5A6-4787-A9E7-AD88FC7C4F9D}" type="VALUE">
                      <a:rPr lang="en-US" sz="1100">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B9E-4F6E-A659-7B0B3C26CE27}"/>
                </c:ext>
              </c:extLst>
            </c:dLbl>
            <c:dLbl>
              <c:idx val="5"/>
              <c:tx>
                <c:rich>
                  <a:bodyPr/>
                  <a:lstStyle/>
                  <a:p>
                    <a:fld id="{91A3A2F4-3B9D-4662-ADD6-FD60D1AF5735}" type="VALUE">
                      <a:rPr lang="en-US" sz="1100" b="1">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B9E-4F6E-A659-7B0B3C26CE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TABLE'!$Z$14:$Z$20</c:f>
              <c:strCache>
                <c:ptCount val="6"/>
                <c:pt idx="0">
                  <c:v>Speaker</c:v>
                </c:pt>
                <c:pt idx="1">
                  <c:v>Keyboard</c:v>
                </c:pt>
                <c:pt idx="2">
                  <c:v>Monitor</c:v>
                </c:pt>
                <c:pt idx="3">
                  <c:v>Mouse</c:v>
                </c:pt>
                <c:pt idx="4">
                  <c:v>Printer</c:v>
                </c:pt>
                <c:pt idx="5">
                  <c:v>Scanner</c:v>
                </c:pt>
              </c:strCache>
            </c:strRef>
          </c:cat>
          <c:val>
            <c:numRef>
              <c:f>'PIVOT TABLE'!$AA$14:$AA$20</c:f>
              <c:numCache>
                <c:formatCode>General</c:formatCode>
                <c:ptCount val="6"/>
                <c:pt idx="0">
                  <c:v>65400</c:v>
                </c:pt>
                <c:pt idx="1">
                  <c:v>25320</c:v>
                </c:pt>
                <c:pt idx="2">
                  <c:v>339000</c:v>
                </c:pt>
                <c:pt idx="3">
                  <c:v>66150</c:v>
                </c:pt>
                <c:pt idx="4">
                  <c:v>934500</c:v>
                </c:pt>
                <c:pt idx="5">
                  <c:v>352200</c:v>
                </c:pt>
              </c:numCache>
            </c:numRef>
          </c:val>
          <c:extLst>
            <c:ext xmlns:c16="http://schemas.microsoft.com/office/drawing/2014/chart" uri="{C3380CC4-5D6E-409C-BE32-E72D297353CC}">
              <c16:uniqueId val="{00000000-4C04-402C-92B6-2E935544EF32}"/>
            </c:ext>
          </c:extLst>
        </c:ser>
        <c:dLbls>
          <c:dLblPos val="inEnd"/>
          <c:showLegendKey val="0"/>
          <c:showVal val="1"/>
          <c:showCatName val="0"/>
          <c:showSerName val="0"/>
          <c:showPercent val="0"/>
          <c:showBubbleSize val="0"/>
        </c:dLbls>
        <c:gapWidth val="182"/>
        <c:axId val="1072767520"/>
        <c:axId val="1098839712"/>
      </c:barChart>
      <c:catAx>
        <c:axId val="107276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39712"/>
        <c:crosses val="autoZero"/>
        <c:auto val="1"/>
        <c:lblAlgn val="ctr"/>
        <c:lblOffset val="100"/>
        <c:noMultiLvlLbl val="0"/>
      </c:catAx>
      <c:valAx>
        <c:axId val="1098839712"/>
        <c:scaling>
          <c:orientation val="minMax"/>
        </c:scaling>
        <c:delete val="1"/>
        <c:axPos val="b"/>
        <c:numFmt formatCode="General" sourceLinked="1"/>
        <c:majorTickMark val="none"/>
        <c:minorTickMark val="none"/>
        <c:tickLblPos val="nextTo"/>
        <c:crossAx val="107276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TABLE!PivotTable8</c:name>
    <c:fmtId val="1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less selling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9706276464598"/>
          <c:y val="0.18105875020440437"/>
          <c:w val="0.78247284307945186"/>
          <c:h val="0.68909110990300604"/>
        </c:manualLayout>
      </c:layout>
      <c:barChart>
        <c:barDir val="bar"/>
        <c:grouping val="clustered"/>
        <c:varyColors val="0"/>
        <c:ser>
          <c:idx val="0"/>
          <c:order val="0"/>
          <c:tx>
            <c:strRef>
              <c:f>'PIVOT TABLE'!$AG$12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TABLE'!$AF$13:$AF$16</c:f>
              <c:strCache>
                <c:ptCount val="3"/>
                <c:pt idx="0">
                  <c:v>Speaker</c:v>
                </c:pt>
                <c:pt idx="1">
                  <c:v>Mouse</c:v>
                </c:pt>
                <c:pt idx="2">
                  <c:v>Keyboard</c:v>
                </c:pt>
              </c:strCache>
            </c:strRef>
          </c:cat>
          <c:val>
            <c:numRef>
              <c:f>'PIVOT TABLE'!$AG$13:$AG$16</c:f>
              <c:numCache>
                <c:formatCode>General</c:formatCode>
                <c:ptCount val="3"/>
                <c:pt idx="0">
                  <c:v>65400</c:v>
                </c:pt>
                <c:pt idx="1">
                  <c:v>66150</c:v>
                </c:pt>
                <c:pt idx="2">
                  <c:v>25320</c:v>
                </c:pt>
              </c:numCache>
            </c:numRef>
          </c:val>
          <c:extLst>
            <c:ext xmlns:c16="http://schemas.microsoft.com/office/drawing/2014/chart" uri="{C3380CC4-5D6E-409C-BE32-E72D297353CC}">
              <c16:uniqueId val="{00000000-5968-4EED-8923-E3DE6F18CF6E}"/>
            </c:ext>
          </c:extLst>
        </c:ser>
        <c:dLbls>
          <c:showLegendKey val="0"/>
          <c:showVal val="0"/>
          <c:showCatName val="0"/>
          <c:showSerName val="0"/>
          <c:showPercent val="0"/>
          <c:showBubbleSize val="0"/>
        </c:dLbls>
        <c:gapWidth val="115"/>
        <c:overlap val="-20"/>
        <c:axId val="1133239151"/>
        <c:axId val="1098825792"/>
      </c:barChart>
      <c:catAx>
        <c:axId val="11332391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25792"/>
        <c:crosses val="autoZero"/>
        <c:auto val="1"/>
        <c:lblAlgn val="ctr"/>
        <c:lblOffset val="100"/>
        <c:noMultiLvlLbl val="0"/>
      </c:catAx>
      <c:valAx>
        <c:axId val="1098825792"/>
        <c:scaling>
          <c:orientation val="minMax"/>
        </c:scaling>
        <c:delete val="1"/>
        <c:axPos val="b"/>
        <c:numFmt formatCode="General" sourceLinked="1"/>
        <c:majorTickMark val="none"/>
        <c:minorTickMark val="none"/>
        <c:tickLblPos val="nextTo"/>
        <c:crossAx val="113323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MONTH :</a:t>
            </a:r>
          </a:p>
          <a:p>
            <a:pPr>
              <a:defRPr/>
            </a:pPr>
            <a:endParaRPr lang="en-US"/>
          </a:p>
        </c:rich>
      </c:tx>
      <c:layout>
        <c:manualLayout>
          <c:xMode val="edge"/>
          <c:yMode val="edge"/>
          <c:x val="1.8483017480666167E-2"/>
          <c:y val="2.64950731681264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99387576552935E-2"/>
          <c:y val="0.20728782691445261"/>
          <c:w val="0.89388896785013783"/>
          <c:h val="0.62748826851189055"/>
        </c:manualLayout>
      </c:layout>
      <c:lineChart>
        <c:grouping val="stacked"/>
        <c:varyColors val="0"/>
        <c:ser>
          <c:idx val="0"/>
          <c:order val="0"/>
          <c:tx>
            <c:strRef>
              <c:f>'PIVOT 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9BEC-4001-A656-790865925393}"/>
            </c:ext>
          </c:extLst>
        </c:ser>
        <c:dLbls>
          <c:dLblPos val="t"/>
          <c:showLegendKey val="0"/>
          <c:showVal val="1"/>
          <c:showCatName val="0"/>
          <c:showSerName val="0"/>
          <c:showPercent val="0"/>
          <c:showBubbleSize val="0"/>
        </c:dLbls>
        <c:marker val="1"/>
        <c:smooth val="0"/>
        <c:axId val="2105122064"/>
        <c:axId val="1452497600"/>
      </c:lineChart>
      <c:catAx>
        <c:axId val="2105122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97600"/>
        <c:crosses val="autoZero"/>
        <c:auto val="1"/>
        <c:lblAlgn val="ctr"/>
        <c:lblOffset val="100"/>
        <c:noMultiLvlLbl val="0"/>
      </c:catAx>
      <c:valAx>
        <c:axId val="1452497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122064"/>
        <c:crosses val="autoZero"/>
        <c:crossBetween val="between"/>
      </c:valAx>
      <c:spPr>
        <a:noFill/>
        <a:ln>
          <a:noFill/>
        </a:ln>
        <a:effectLst/>
      </c:spPr>
    </c:plotArea>
    <c:plotVisOnly val="1"/>
    <c:dispBlanksAs val="zero"/>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TABLE!PivotTable5</c:name>
    <c:fmtId val="4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 By region</a:t>
            </a:r>
          </a:p>
          <a:p>
            <a:pPr>
              <a:defRPr/>
            </a:pPr>
            <a:endParaRPr lang="en-IN"/>
          </a:p>
        </c:rich>
      </c:tx>
      <c:layout>
        <c:manualLayout>
          <c:xMode val="edge"/>
          <c:yMode val="edge"/>
          <c:x val="1.5987453621099008E-2"/>
          <c:y val="2.333638237562902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fld id="{FD414FDE-FE06-4337-8C7F-59CF81097DDC}" type="VALUE">
                  <a:rPr lang="en-US" sz="1100">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fld id="{B02E8AD1-E164-43CD-B2DA-4330381914BE}" type="VALUE">
                  <a:rPr lang="en-US" sz="12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fld id="{52C49BEF-0AC8-406F-A211-539F43D975C6}"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noFill/>
          <a:ln w="9525" cap="flat" cmpd="sng" algn="ctr">
            <a:solidFill>
              <a:schemeClr val="accent1"/>
            </a:solidFill>
            <a:miter lim="800000"/>
          </a:ln>
          <a:effectLst>
            <a:glow rad="63500">
              <a:schemeClr val="accent1">
                <a:satMod val="175000"/>
                <a:alpha val="25000"/>
              </a:schemeClr>
            </a:glo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fld id="{D30C8B48-DD7B-46AF-8616-B3D9C4A7E5F4}"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9986452074520968E-2"/>
          <c:y val="0.15820192990044737"/>
          <c:w val="0.94001363326516696"/>
          <c:h val="0.71991513255964956"/>
        </c:manualLayout>
      </c:layout>
      <c:barChart>
        <c:barDir val="col"/>
        <c:grouping val="clustered"/>
        <c:varyColors val="0"/>
        <c:ser>
          <c:idx val="0"/>
          <c:order val="0"/>
          <c:tx>
            <c:strRef>
              <c:f>'PIVOT 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3-662C-476B-AC9C-6E8013D7F777}"/>
              </c:ext>
            </c:extLst>
          </c:dPt>
          <c:dPt>
            <c:idx val="1"/>
            <c:invertIfNegative val="0"/>
            <c:bubble3D val="0"/>
            <c:extLst>
              <c:ext xmlns:c16="http://schemas.microsoft.com/office/drawing/2014/chart" uri="{C3380CC4-5D6E-409C-BE32-E72D297353CC}">
                <c16:uniqueId val="{00000002-662C-476B-AC9C-6E8013D7F777}"/>
              </c:ext>
            </c:extLst>
          </c:dPt>
          <c:dPt>
            <c:idx val="2"/>
            <c:invertIfNegative val="0"/>
            <c:bubble3D val="0"/>
            <c:extLst>
              <c:ext xmlns:c16="http://schemas.microsoft.com/office/drawing/2014/chart" uri="{C3380CC4-5D6E-409C-BE32-E72D297353CC}">
                <c16:uniqueId val="{00000001-662C-476B-AC9C-6E8013D7F777}"/>
              </c:ext>
            </c:extLst>
          </c:dPt>
          <c:dPt>
            <c:idx val="3"/>
            <c:invertIfNegative val="0"/>
            <c:bubble3D val="0"/>
            <c:extLst>
              <c:ext xmlns:c16="http://schemas.microsoft.com/office/drawing/2014/chart" uri="{C3380CC4-5D6E-409C-BE32-E72D297353CC}">
                <c16:uniqueId val="{00000000-662C-476B-AC9C-6E8013D7F777}"/>
              </c:ext>
            </c:extLst>
          </c:dPt>
          <c:dLbls>
            <c:dLbl>
              <c:idx val="0"/>
              <c:tx>
                <c:rich>
                  <a:bodyPr/>
                  <a:lstStyle/>
                  <a:p>
                    <a:fld id="{D30C8B48-DD7B-46AF-8616-B3D9C4A7E5F4}"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62C-476B-AC9C-6E8013D7F777}"/>
                </c:ext>
              </c:extLst>
            </c:dLbl>
            <c:dLbl>
              <c:idx val="1"/>
              <c:tx>
                <c:rich>
                  <a:bodyPr/>
                  <a:lstStyle/>
                  <a:p>
                    <a:fld id="{52C49BEF-0AC8-406F-A211-539F43D975C6}"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62C-476B-AC9C-6E8013D7F777}"/>
                </c:ext>
              </c:extLst>
            </c:dLbl>
            <c:dLbl>
              <c:idx val="2"/>
              <c:tx>
                <c:rich>
                  <a:bodyPr/>
                  <a:lstStyle/>
                  <a:p>
                    <a:fld id="{B02E8AD1-E164-43CD-B2DA-4330381914BE}" type="VALUE">
                      <a:rPr lang="en-US" sz="12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62C-476B-AC9C-6E8013D7F777}"/>
                </c:ext>
              </c:extLst>
            </c:dLbl>
            <c:dLbl>
              <c:idx val="3"/>
              <c:tx>
                <c:rich>
                  <a:bodyPr/>
                  <a:lstStyle/>
                  <a:p>
                    <a:fld id="{FD414FDE-FE06-4337-8C7F-59CF81097DDC}" type="VALUE">
                      <a:rPr lang="en-US" sz="1100">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62C-476B-AC9C-6E8013D7F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664C-4AFA-BC43-D6DC44A371A3}"/>
            </c:ext>
          </c:extLst>
        </c:ser>
        <c:dLbls>
          <c:dLblPos val="outEnd"/>
          <c:showLegendKey val="0"/>
          <c:showVal val="1"/>
          <c:showCatName val="0"/>
          <c:showSerName val="0"/>
          <c:showPercent val="0"/>
          <c:showBubbleSize val="0"/>
        </c:dLbls>
        <c:gapWidth val="315"/>
        <c:overlap val="-40"/>
        <c:axId val="2105118816"/>
        <c:axId val="1452524960"/>
      </c:barChart>
      <c:catAx>
        <c:axId val="210511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2524960"/>
        <c:crosses val="autoZero"/>
        <c:auto val="1"/>
        <c:lblAlgn val="ctr"/>
        <c:lblOffset val="100"/>
        <c:noMultiLvlLbl val="0"/>
      </c:catAx>
      <c:valAx>
        <c:axId val="1452524960"/>
        <c:scaling>
          <c:orientation val="minMax"/>
        </c:scaling>
        <c:delete val="1"/>
        <c:axPos val="l"/>
        <c:numFmt formatCode="General" sourceLinked="1"/>
        <c:majorTickMark val="none"/>
        <c:minorTickMark val="none"/>
        <c:tickLblPos val="nextTo"/>
        <c:crossAx val="210511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TABLE!PivotTable13</c:name>
    <c:fmtId val="8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of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B8DCAE8-FA34-431A-8064-5B278C6C810D}"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1DE6AB3-D7B5-4BAF-BF3B-C85C9EDB8F4B}"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D5D1D14-F524-41ED-BD0D-1E08923016B1}"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52D145F-4DAF-4E41-802E-1085551A147B}"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F1A7772-1EF1-4415-AC3E-90B10C1B1822}"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2569821392720474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709DAF3-3CE5-4A1C-AE47-EED5224DC380}" type="VALUE">
                  <a:rPr lang="en-US" sz="11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995070779031227"/>
          <c:y val="0.12478937394401571"/>
          <c:w val="0.8312937445319335"/>
          <c:h val="0.80562481773111694"/>
        </c:manualLayout>
      </c:layout>
      <c:barChart>
        <c:barDir val="bar"/>
        <c:grouping val="clustered"/>
        <c:varyColors val="0"/>
        <c:ser>
          <c:idx val="0"/>
          <c:order val="0"/>
          <c:tx>
            <c:strRef>
              <c:f>'PIVOT TABLE'!$E$13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48D2-41F3-9B79-138A957C5A43}"/>
              </c:ext>
            </c:extLst>
          </c:dPt>
          <c:dPt>
            <c:idx val="1"/>
            <c:invertIfNegative val="0"/>
            <c:bubble3D val="0"/>
            <c:extLst>
              <c:ext xmlns:c16="http://schemas.microsoft.com/office/drawing/2014/chart" uri="{C3380CC4-5D6E-409C-BE32-E72D297353CC}">
                <c16:uniqueId val="{00000004-48D2-41F3-9B79-138A957C5A43}"/>
              </c:ext>
            </c:extLst>
          </c:dPt>
          <c:dPt>
            <c:idx val="2"/>
            <c:invertIfNegative val="0"/>
            <c:bubble3D val="0"/>
            <c:extLst>
              <c:ext xmlns:c16="http://schemas.microsoft.com/office/drawing/2014/chart" uri="{C3380CC4-5D6E-409C-BE32-E72D297353CC}">
                <c16:uniqueId val="{00000003-48D2-41F3-9B79-138A957C5A43}"/>
              </c:ext>
            </c:extLst>
          </c:dPt>
          <c:dPt>
            <c:idx val="3"/>
            <c:invertIfNegative val="0"/>
            <c:bubble3D val="0"/>
            <c:extLst>
              <c:ext xmlns:c16="http://schemas.microsoft.com/office/drawing/2014/chart" uri="{C3380CC4-5D6E-409C-BE32-E72D297353CC}">
                <c16:uniqueId val="{00000002-48D2-41F3-9B79-138A957C5A43}"/>
              </c:ext>
            </c:extLst>
          </c:dPt>
          <c:dPt>
            <c:idx val="4"/>
            <c:invertIfNegative val="0"/>
            <c:bubble3D val="0"/>
            <c:extLst>
              <c:ext xmlns:c16="http://schemas.microsoft.com/office/drawing/2014/chart" uri="{C3380CC4-5D6E-409C-BE32-E72D297353CC}">
                <c16:uniqueId val="{00000000-48D2-41F3-9B79-138A957C5A43}"/>
              </c:ext>
            </c:extLst>
          </c:dPt>
          <c:dPt>
            <c:idx val="5"/>
            <c:invertIfNegative val="0"/>
            <c:bubble3D val="0"/>
            <c:extLst>
              <c:ext xmlns:c16="http://schemas.microsoft.com/office/drawing/2014/chart" uri="{C3380CC4-5D6E-409C-BE32-E72D297353CC}">
                <c16:uniqueId val="{00000001-48D2-41F3-9B79-138A957C5A43}"/>
              </c:ext>
            </c:extLst>
          </c:dPt>
          <c:dLbls>
            <c:dLbl>
              <c:idx val="0"/>
              <c:layout>
                <c:manualLayout>
                  <c:x val="-6.2569821392720474E-3"/>
                  <c:y val="0"/>
                </c:manualLayout>
              </c:layout>
              <c:tx>
                <c:rich>
                  <a:bodyPr/>
                  <a:lstStyle/>
                  <a:p>
                    <a:fld id="{D709DAF3-3CE5-4A1C-AE47-EED5224DC380}"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8D2-41F3-9B79-138A957C5A43}"/>
                </c:ext>
              </c:extLst>
            </c:dLbl>
            <c:dLbl>
              <c:idx val="1"/>
              <c:tx>
                <c:rich>
                  <a:bodyPr/>
                  <a:lstStyle/>
                  <a:p>
                    <a:fld id="{CF1A7772-1EF1-4415-AC3E-90B10C1B1822}"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8D2-41F3-9B79-138A957C5A43}"/>
                </c:ext>
              </c:extLst>
            </c:dLbl>
            <c:dLbl>
              <c:idx val="2"/>
              <c:tx>
                <c:rich>
                  <a:bodyPr/>
                  <a:lstStyle/>
                  <a:p>
                    <a:fld id="{B52D145F-4DAF-4E41-802E-1085551A147B}"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8D2-41F3-9B79-138A957C5A43}"/>
                </c:ext>
              </c:extLst>
            </c:dLbl>
            <c:dLbl>
              <c:idx val="3"/>
              <c:tx>
                <c:rich>
                  <a:bodyPr/>
                  <a:lstStyle/>
                  <a:p>
                    <a:fld id="{2D5D1D14-F524-41ED-BD0D-1E08923016B1}"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8D2-41F3-9B79-138A957C5A43}"/>
                </c:ext>
              </c:extLst>
            </c:dLbl>
            <c:dLbl>
              <c:idx val="4"/>
              <c:tx>
                <c:rich>
                  <a:bodyPr/>
                  <a:lstStyle/>
                  <a:p>
                    <a:fld id="{3B8DCAE8-FA34-431A-8064-5B278C6C810D}"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8D2-41F3-9B79-138A957C5A43}"/>
                </c:ext>
              </c:extLst>
            </c:dLbl>
            <c:dLbl>
              <c:idx val="5"/>
              <c:tx>
                <c:rich>
                  <a:bodyPr/>
                  <a:lstStyle/>
                  <a:p>
                    <a:fld id="{91DE6AB3-D7B5-4BAF-BF3B-C85C9EDB8F4B}" type="VALUE">
                      <a:rPr lang="en-US" sz="11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8D2-41F3-9B79-138A957C5A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TABLE'!$D$14:$D$20</c:f>
              <c:strCache>
                <c:ptCount val="6"/>
                <c:pt idx="0">
                  <c:v>Keyboard</c:v>
                </c:pt>
                <c:pt idx="1">
                  <c:v>Monitor</c:v>
                </c:pt>
                <c:pt idx="2">
                  <c:v>Mouse</c:v>
                </c:pt>
                <c:pt idx="3">
                  <c:v>Printer</c:v>
                </c:pt>
                <c:pt idx="4">
                  <c:v>Scanner</c:v>
                </c:pt>
                <c:pt idx="5">
                  <c:v>Speaker</c:v>
                </c:pt>
              </c:strCache>
            </c:strRef>
          </c:cat>
          <c:val>
            <c:numRef>
              <c:f>'PIVOT TABLE'!$E$14:$E$20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BDBE-4743-A2B4-0C0EE3CF9695}"/>
            </c:ext>
          </c:extLst>
        </c:ser>
        <c:dLbls>
          <c:showLegendKey val="0"/>
          <c:showVal val="0"/>
          <c:showCatName val="0"/>
          <c:showSerName val="0"/>
          <c:showPercent val="0"/>
          <c:showBubbleSize val="0"/>
        </c:dLbls>
        <c:gapWidth val="115"/>
        <c:overlap val="-20"/>
        <c:axId val="1210306480"/>
        <c:axId val="1211210592"/>
      </c:barChart>
      <c:catAx>
        <c:axId val="1210306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1210592"/>
        <c:crosses val="autoZero"/>
        <c:auto val="1"/>
        <c:lblAlgn val="ctr"/>
        <c:lblOffset val="100"/>
        <c:noMultiLvlLbl val="0"/>
      </c:catAx>
      <c:valAx>
        <c:axId val="12112105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03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TABLE!PivotTable5</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44105516222221E-2"/>
          <c:y val="6.7901267571336424E-2"/>
          <c:w val="0.82594925634295713"/>
          <c:h val="0.78889947939121197"/>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E841-4851-B656-51FC7B760577}"/>
            </c:ext>
          </c:extLst>
        </c:ser>
        <c:dLbls>
          <c:showLegendKey val="0"/>
          <c:showVal val="0"/>
          <c:showCatName val="0"/>
          <c:showSerName val="0"/>
          <c:showPercent val="0"/>
          <c:showBubbleSize val="0"/>
        </c:dLbls>
        <c:gapWidth val="182"/>
        <c:axId val="1133224303"/>
        <c:axId val="2041638111"/>
      </c:barChart>
      <c:catAx>
        <c:axId val="113322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638111"/>
        <c:crosses val="autoZero"/>
        <c:auto val="1"/>
        <c:lblAlgn val="ctr"/>
        <c:lblOffset val="100"/>
        <c:noMultiLvlLbl val="0"/>
      </c:catAx>
      <c:valAx>
        <c:axId val="204163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243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solidFill>
              </a:rPr>
              <a:t>Sale</a:t>
            </a:r>
            <a:r>
              <a:rPr lang="en-IN" sz="900" b="1" baseline="0">
                <a:solidFill>
                  <a:schemeClr val="tx1"/>
                </a:solidFill>
              </a:rPr>
              <a:t> by month</a:t>
            </a:r>
            <a:endParaRPr lang="en-IN" sz="900" b="1">
              <a:solidFill>
                <a:schemeClr val="tx1"/>
              </a:solidFill>
            </a:endParaRPr>
          </a:p>
        </c:rich>
      </c:tx>
      <c:layout>
        <c:manualLayout>
          <c:xMode val="edge"/>
          <c:yMode val="edge"/>
          <c:x val="2.6236001749781281E-2"/>
          <c:y val="6.1728395061728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1426071741033"/>
          <c:y val="0.29549091085836493"/>
          <c:w val="0.6965853018372703"/>
          <c:h val="0.38365850102070576"/>
        </c:manualLayout>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5E0-4EBC-93EB-9FB7CB9ECA8C}"/>
            </c:ext>
          </c:extLst>
        </c:ser>
        <c:dLbls>
          <c:showLegendKey val="0"/>
          <c:showVal val="0"/>
          <c:showCatName val="0"/>
          <c:showSerName val="0"/>
          <c:showPercent val="0"/>
          <c:showBubbleSize val="0"/>
        </c:dLbls>
        <c:marker val="1"/>
        <c:smooth val="0"/>
        <c:axId val="1072703952"/>
        <c:axId val="1098833952"/>
      </c:lineChart>
      <c:catAx>
        <c:axId val="107270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33952"/>
        <c:crosses val="autoZero"/>
        <c:auto val="1"/>
        <c:lblAlgn val="ctr"/>
        <c:lblOffset val="100"/>
        <c:noMultiLvlLbl val="0"/>
      </c:catAx>
      <c:valAx>
        <c:axId val="109883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0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TABLE!PivotTable4</c:name>
    <c:fmtId val="7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i="1">
                <a:solidFill>
                  <a:schemeClr val="tx1"/>
                </a:solidFill>
              </a:rPr>
              <a:t>sale</a:t>
            </a:r>
            <a:r>
              <a:rPr lang="en-IN" sz="900" b="1" i="1" baseline="0">
                <a:solidFill>
                  <a:schemeClr val="tx1"/>
                </a:solidFill>
              </a:rPr>
              <a:t> of product By Qty</a:t>
            </a:r>
          </a:p>
          <a:p>
            <a:pPr>
              <a:defRPr/>
            </a:pPr>
            <a:endParaRPr lang="en-IN"/>
          </a:p>
        </c:rich>
      </c:tx>
      <c:layout>
        <c:manualLayout>
          <c:xMode val="edge"/>
          <c:yMode val="edge"/>
          <c:x val="1.9217060954628998E-2"/>
          <c:y val="2.1248339973439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TABLE'!$P$14:$P$20</c:f>
              <c:strCache>
                <c:ptCount val="6"/>
                <c:pt idx="0">
                  <c:v>Keyboard</c:v>
                </c:pt>
                <c:pt idx="1">
                  <c:v>Monitor</c:v>
                </c:pt>
                <c:pt idx="2">
                  <c:v>Mouse</c:v>
                </c:pt>
                <c:pt idx="3">
                  <c:v>Printer</c:v>
                </c:pt>
                <c:pt idx="4">
                  <c:v>Scanner</c:v>
                </c:pt>
                <c:pt idx="5">
                  <c:v>Speaker</c:v>
                </c:pt>
              </c:strCache>
            </c:strRef>
          </c:cat>
          <c:val>
            <c:numRef>
              <c:f>'PIVOT TABLE'!$Q$14:$Q$20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718C-41F0-9D80-73AE7F80A567}"/>
            </c:ext>
          </c:extLst>
        </c:ser>
        <c:dLbls>
          <c:dLblPos val="outEnd"/>
          <c:showLegendKey val="0"/>
          <c:showVal val="1"/>
          <c:showCatName val="0"/>
          <c:showSerName val="0"/>
          <c:showPercent val="0"/>
          <c:showBubbleSize val="0"/>
        </c:dLbls>
        <c:gapWidth val="219"/>
        <c:overlap val="-27"/>
        <c:axId val="1072257040"/>
        <c:axId val="1098815712"/>
      </c:barChart>
      <c:catAx>
        <c:axId val="107225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15712"/>
        <c:crosses val="autoZero"/>
        <c:auto val="1"/>
        <c:lblAlgn val="ctr"/>
        <c:lblOffset val="100"/>
        <c:noMultiLvlLbl val="0"/>
      </c:catAx>
      <c:valAx>
        <c:axId val="1098815712"/>
        <c:scaling>
          <c:orientation val="minMax"/>
        </c:scaling>
        <c:delete val="1"/>
        <c:axPos val="l"/>
        <c:numFmt formatCode="General" sourceLinked="1"/>
        <c:majorTickMark val="none"/>
        <c:minorTickMark val="none"/>
        <c:tickLblPos val="nextTo"/>
        <c:crossAx val="10722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TABLE!PivotTable6</c:name>
    <c:fmtId val="10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Top</a:t>
            </a:r>
            <a:r>
              <a:rPr lang="en-US" sz="900" b="1" baseline="0">
                <a:solidFill>
                  <a:schemeClr val="tx1"/>
                </a:solidFill>
              </a:rPr>
              <a:t> 3 selling products</a:t>
            </a:r>
          </a:p>
          <a:p>
            <a:pPr>
              <a:defRPr/>
            </a:pPr>
            <a:endParaRPr lang="en-US"/>
          </a:p>
        </c:rich>
      </c:tx>
      <c:layout>
        <c:manualLayout>
          <c:xMode val="edge"/>
          <c:yMode val="edge"/>
          <c:x val="1.4374890638670163E-2"/>
          <c:y val="2.8520499108734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16951006124235"/>
          <c:y val="0.3413157045208921"/>
          <c:w val="0.55249715660542431"/>
          <c:h val="0.42910662905104774"/>
        </c:manualLayout>
      </c:layout>
      <c:barChart>
        <c:barDir val="bar"/>
        <c:grouping val="clustered"/>
        <c:varyColors val="0"/>
        <c:ser>
          <c:idx val="0"/>
          <c:order val="0"/>
          <c:tx>
            <c:strRef>
              <c:f>'PIVOT TABLE'!$AA$13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TABLE'!$Z$14:$Z$20</c:f>
              <c:strCache>
                <c:ptCount val="6"/>
                <c:pt idx="0">
                  <c:v>Speaker</c:v>
                </c:pt>
                <c:pt idx="1">
                  <c:v>Keyboard</c:v>
                </c:pt>
                <c:pt idx="2">
                  <c:v>Monitor</c:v>
                </c:pt>
                <c:pt idx="3">
                  <c:v>Mouse</c:v>
                </c:pt>
                <c:pt idx="4">
                  <c:v>Printer</c:v>
                </c:pt>
                <c:pt idx="5">
                  <c:v>Scanner</c:v>
                </c:pt>
              </c:strCache>
            </c:strRef>
          </c:cat>
          <c:val>
            <c:numRef>
              <c:f>'PIVOT TABLE'!$AA$14:$AA$20</c:f>
              <c:numCache>
                <c:formatCode>General</c:formatCode>
                <c:ptCount val="6"/>
                <c:pt idx="0">
                  <c:v>65400</c:v>
                </c:pt>
                <c:pt idx="1">
                  <c:v>25320</c:v>
                </c:pt>
                <c:pt idx="2">
                  <c:v>339000</c:v>
                </c:pt>
                <c:pt idx="3">
                  <c:v>66150</c:v>
                </c:pt>
                <c:pt idx="4">
                  <c:v>934500</c:v>
                </c:pt>
                <c:pt idx="5">
                  <c:v>352200</c:v>
                </c:pt>
              </c:numCache>
            </c:numRef>
          </c:val>
          <c:extLst>
            <c:ext xmlns:c16="http://schemas.microsoft.com/office/drawing/2014/chart" uri="{C3380CC4-5D6E-409C-BE32-E72D297353CC}">
              <c16:uniqueId val="{00000004-0CA7-421F-AD10-A05E26760667}"/>
            </c:ext>
          </c:extLst>
        </c:ser>
        <c:dLbls>
          <c:dLblPos val="outEnd"/>
          <c:showLegendKey val="0"/>
          <c:showVal val="1"/>
          <c:showCatName val="0"/>
          <c:showSerName val="0"/>
          <c:showPercent val="0"/>
          <c:showBubbleSize val="0"/>
        </c:dLbls>
        <c:gapWidth val="182"/>
        <c:axId val="1072767520"/>
        <c:axId val="1098839712"/>
      </c:barChart>
      <c:catAx>
        <c:axId val="107276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39712"/>
        <c:crosses val="autoZero"/>
        <c:auto val="1"/>
        <c:lblAlgn val="ctr"/>
        <c:lblOffset val="100"/>
        <c:noMultiLvlLbl val="0"/>
      </c:catAx>
      <c:valAx>
        <c:axId val="1098839712"/>
        <c:scaling>
          <c:orientation val="minMax"/>
        </c:scaling>
        <c:delete val="1"/>
        <c:axPos val="b"/>
        <c:numFmt formatCode="General" sourceLinked="1"/>
        <c:majorTickMark val="none"/>
        <c:minorTickMark val="none"/>
        <c:tickLblPos val="nextTo"/>
        <c:crossAx val="107276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TABLE!PivotTable8</c:name>
    <c:fmtId val="1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Top</a:t>
            </a:r>
            <a:r>
              <a:rPr lang="en-US" sz="900" b="1" baseline="0">
                <a:solidFill>
                  <a:schemeClr val="tx1"/>
                </a:solidFill>
              </a:rPr>
              <a:t> 3 less selling product</a:t>
            </a:r>
            <a:endParaRPr lang="en-US" sz="900" b="1">
              <a:solidFill>
                <a:schemeClr val="tx1"/>
              </a:solidFill>
            </a:endParaRPr>
          </a:p>
        </c:rich>
      </c:tx>
      <c:layout>
        <c:manualLayout>
          <c:xMode val="edge"/>
          <c:yMode val="edge"/>
          <c:x val="1.3965223097112863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TABLE'!$AF$13:$AF$16</c:f>
              <c:strCache>
                <c:ptCount val="3"/>
                <c:pt idx="0">
                  <c:v>Speaker</c:v>
                </c:pt>
                <c:pt idx="1">
                  <c:v>Mouse</c:v>
                </c:pt>
                <c:pt idx="2">
                  <c:v>Keyboard</c:v>
                </c:pt>
              </c:strCache>
            </c:strRef>
          </c:cat>
          <c:val>
            <c:numRef>
              <c:f>'PIVOT TABLE'!$AG$13:$AG$16</c:f>
              <c:numCache>
                <c:formatCode>General</c:formatCode>
                <c:ptCount val="3"/>
                <c:pt idx="0">
                  <c:v>65400</c:v>
                </c:pt>
                <c:pt idx="1">
                  <c:v>66150</c:v>
                </c:pt>
                <c:pt idx="2">
                  <c:v>25320</c:v>
                </c:pt>
              </c:numCache>
            </c:numRef>
          </c:val>
          <c:extLst>
            <c:ext xmlns:c16="http://schemas.microsoft.com/office/drawing/2014/chart" uri="{C3380CC4-5D6E-409C-BE32-E72D297353CC}">
              <c16:uniqueId val="{00000000-2D5B-4A13-8902-B1AA391EA697}"/>
            </c:ext>
          </c:extLst>
        </c:ser>
        <c:dLbls>
          <c:showLegendKey val="0"/>
          <c:showVal val="0"/>
          <c:showCatName val="0"/>
          <c:showSerName val="0"/>
          <c:showPercent val="0"/>
          <c:showBubbleSize val="0"/>
        </c:dLbls>
        <c:gapWidth val="182"/>
        <c:axId val="1133239151"/>
        <c:axId val="1098825792"/>
      </c:barChart>
      <c:catAx>
        <c:axId val="113323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25792"/>
        <c:crosses val="autoZero"/>
        <c:auto val="1"/>
        <c:lblAlgn val="ctr"/>
        <c:lblOffset val="100"/>
        <c:noMultiLvlLbl val="0"/>
      </c:catAx>
      <c:valAx>
        <c:axId val="1098825792"/>
        <c:scaling>
          <c:orientation val="minMax"/>
        </c:scaling>
        <c:delete val="1"/>
        <c:axPos val="b"/>
        <c:numFmt formatCode="General" sourceLinked="1"/>
        <c:majorTickMark val="none"/>
        <c:minorTickMark val="none"/>
        <c:tickLblPos val="nextTo"/>
        <c:crossAx val="113323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TABLE!PivotTable1</c:name>
    <c:fmtId val="1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salesman</a:t>
            </a:r>
            <a:r>
              <a:rPr lang="en-US" sz="900" b="1" baseline="0">
                <a:solidFill>
                  <a:schemeClr val="tx1"/>
                </a:solidFill>
              </a:rPr>
              <a:t> performance</a:t>
            </a:r>
            <a:endParaRPr lang="en-US" sz="900" b="1">
              <a:solidFill>
                <a:schemeClr val="tx1"/>
              </a:solidFill>
            </a:endParaRPr>
          </a:p>
        </c:rich>
      </c:tx>
      <c:layout>
        <c:manualLayout>
          <c:xMode val="edge"/>
          <c:yMode val="edge"/>
          <c:x val="1.4812335958005227E-2"/>
          <c:y val="3.95061728395061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75634295713028E-2"/>
          <c:y val="0.1332594536794012"/>
          <c:w val="0.82664807524059492"/>
          <c:h val="0.73242811315252265"/>
        </c:manualLayout>
      </c:layout>
      <c:barChart>
        <c:barDir val="col"/>
        <c:grouping val="clustered"/>
        <c:varyColors val="0"/>
        <c:ser>
          <c:idx val="0"/>
          <c:order val="0"/>
          <c:tx>
            <c:strRef>
              <c:f>'PIVOT TABLE'!$AK$12</c:f>
              <c:strCache>
                <c:ptCount val="1"/>
                <c:pt idx="0">
                  <c:v>Total</c:v>
                </c:pt>
              </c:strCache>
            </c:strRef>
          </c:tx>
          <c:spPr>
            <a:solidFill>
              <a:schemeClr val="accent1"/>
            </a:solidFill>
            <a:ln>
              <a:noFill/>
            </a:ln>
            <a:effectLst/>
          </c:spPr>
          <c:invertIfNegative val="0"/>
          <c:cat>
            <c:strRef>
              <c:f>'PIVOT TABLE'!$AJ$13:$AJ$19</c:f>
              <c:strCache>
                <c:ptCount val="6"/>
                <c:pt idx="0">
                  <c:v>Ajit Kumar</c:v>
                </c:pt>
                <c:pt idx="1">
                  <c:v>Amit</c:v>
                </c:pt>
                <c:pt idx="2">
                  <c:v>Chandu</c:v>
                </c:pt>
                <c:pt idx="3">
                  <c:v>Ramesh</c:v>
                </c:pt>
                <c:pt idx="4">
                  <c:v>Rohit Das</c:v>
                </c:pt>
                <c:pt idx="5">
                  <c:v>Siddhu</c:v>
                </c:pt>
              </c:strCache>
            </c:strRef>
          </c:cat>
          <c:val>
            <c:numRef>
              <c:f>'PIVOT TABLE'!$AK$13:$AK$19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44BA-4875-AEC5-134E886B65E3}"/>
            </c:ext>
          </c:extLst>
        </c:ser>
        <c:dLbls>
          <c:showLegendKey val="0"/>
          <c:showVal val="0"/>
          <c:showCatName val="0"/>
          <c:showSerName val="0"/>
          <c:showPercent val="0"/>
          <c:showBubbleSize val="0"/>
        </c:dLbls>
        <c:gapWidth val="219"/>
        <c:overlap val="-27"/>
        <c:axId val="1772590688"/>
        <c:axId val="1211202912"/>
      </c:barChart>
      <c:catAx>
        <c:axId val="177259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02912"/>
        <c:crosses val="autoZero"/>
        <c:auto val="1"/>
        <c:lblAlgn val="ctr"/>
        <c:lblOffset val="100"/>
        <c:noMultiLvlLbl val="0"/>
      </c:catAx>
      <c:valAx>
        <c:axId val="1211202912"/>
        <c:scaling>
          <c:orientation val="minMax"/>
        </c:scaling>
        <c:delete val="1"/>
        <c:axPos val="l"/>
        <c:numFmt formatCode="General" sourceLinked="1"/>
        <c:majorTickMark val="none"/>
        <c:minorTickMark val="none"/>
        <c:tickLblPos val="nextTo"/>
        <c:crossAx val="177259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TABLE!PivotTable7</c:name>
    <c:fmtId val="1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3</a:t>
            </a:r>
            <a:r>
              <a:rPr lang="en-US" sz="900" b="1" baseline="0">
                <a:solidFill>
                  <a:schemeClr val="tx1"/>
                </a:solidFill>
              </a:rPr>
              <a:t> top performing salesman</a:t>
            </a:r>
            <a:endParaRPr lang="en-US" sz="900" b="1">
              <a:solidFill>
                <a:schemeClr val="tx1"/>
              </a:solidFill>
            </a:endParaRPr>
          </a:p>
        </c:rich>
      </c:tx>
      <c:layout>
        <c:manualLayout>
          <c:xMode val="edge"/>
          <c:yMode val="edge"/>
          <c:x val="1.006933508311461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TABLE'!$AU$10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TABLE'!$AT$11:$AT$14</c:f>
              <c:strCache>
                <c:ptCount val="3"/>
                <c:pt idx="0">
                  <c:v>Ajit Kumar</c:v>
                </c:pt>
                <c:pt idx="1">
                  <c:v>Rohit Das</c:v>
                </c:pt>
                <c:pt idx="2">
                  <c:v>Siddhu</c:v>
                </c:pt>
              </c:strCache>
            </c:strRef>
          </c:cat>
          <c:val>
            <c:numRef>
              <c:f>'PIVOT TABLE'!$AU$11:$AU$14</c:f>
              <c:numCache>
                <c:formatCode>General</c:formatCode>
                <c:ptCount val="3"/>
                <c:pt idx="0">
                  <c:v>386030</c:v>
                </c:pt>
                <c:pt idx="1">
                  <c:v>394410</c:v>
                </c:pt>
                <c:pt idx="2">
                  <c:v>551960</c:v>
                </c:pt>
              </c:numCache>
            </c:numRef>
          </c:val>
          <c:extLst>
            <c:ext xmlns:c16="http://schemas.microsoft.com/office/drawing/2014/chart" uri="{C3380CC4-5D6E-409C-BE32-E72D297353CC}">
              <c16:uniqueId val="{00000000-8ECC-45DA-8693-5BD046AF2924}"/>
            </c:ext>
          </c:extLst>
        </c:ser>
        <c:dLbls>
          <c:showLegendKey val="0"/>
          <c:showVal val="0"/>
          <c:showCatName val="0"/>
          <c:showSerName val="0"/>
          <c:showPercent val="0"/>
          <c:showBubbleSize val="0"/>
        </c:dLbls>
        <c:gapWidth val="182"/>
        <c:axId val="1785858096"/>
        <c:axId val="1127769856"/>
      </c:barChart>
      <c:catAx>
        <c:axId val="178585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69856"/>
        <c:crosses val="autoZero"/>
        <c:auto val="1"/>
        <c:lblAlgn val="ctr"/>
        <c:lblOffset val="100"/>
        <c:noMultiLvlLbl val="0"/>
      </c:catAx>
      <c:valAx>
        <c:axId val="1127769856"/>
        <c:scaling>
          <c:orientation val="minMax"/>
        </c:scaling>
        <c:delete val="1"/>
        <c:axPos val="b"/>
        <c:numFmt formatCode="General" sourceLinked="1"/>
        <c:majorTickMark val="none"/>
        <c:minorTickMark val="none"/>
        <c:tickLblPos val="nextTo"/>
        <c:crossAx val="178585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TABLE!PivotTable9</c:name>
    <c:fmtId val="1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3</a:t>
            </a:r>
            <a:r>
              <a:rPr lang="en-US" sz="900" b="1" baseline="0">
                <a:solidFill>
                  <a:schemeClr val="tx1"/>
                </a:solidFill>
              </a:rPr>
              <a:t> poor performing salesman</a:t>
            </a:r>
            <a:endParaRPr lang="en-US" sz="900" b="1">
              <a:solidFill>
                <a:schemeClr val="tx1"/>
              </a:solidFill>
            </a:endParaRPr>
          </a:p>
        </c:rich>
      </c:tx>
      <c:layout>
        <c:manualLayout>
          <c:xMode val="edge"/>
          <c:yMode val="edge"/>
          <c:x val="1.7374804594758771E-2"/>
          <c:y val="4.71976401179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TABLE'!$AZ$10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TABLE'!$AY$11:$AY$14</c:f>
              <c:strCache>
                <c:ptCount val="3"/>
                <c:pt idx="0">
                  <c:v>Ramesh</c:v>
                </c:pt>
                <c:pt idx="1">
                  <c:v>Chandu</c:v>
                </c:pt>
                <c:pt idx="2">
                  <c:v>Amit</c:v>
                </c:pt>
              </c:strCache>
            </c:strRef>
          </c:cat>
          <c:val>
            <c:numRef>
              <c:f>'PIVOT TABLE'!$AZ$11:$AZ$14</c:f>
              <c:numCache>
                <c:formatCode>General</c:formatCode>
                <c:ptCount val="3"/>
                <c:pt idx="0">
                  <c:v>139880</c:v>
                </c:pt>
                <c:pt idx="1">
                  <c:v>125600</c:v>
                </c:pt>
                <c:pt idx="2">
                  <c:v>184690</c:v>
                </c:pt>
              </c:numCache>
            </c:numRef>
          </c:val>
          <c:extLst>
            <c:ext xmlns:c16="http://schemas.microsoft.com/office/drawing/2014/chart" uri="{C3380CC4-5D6E-409C-BE32-E72D297353CC}">
              <c16:uniqueId val="{00000000-3C0D-45E6-A4C8-F57E6CF65C21}"/>
            </c:ext>
          </c:extLst>
        </c:ser>
        <c:dLbls>
          <c:showLegendKey val="0"/>
          <c:showVal val="0"/>
          <c:showCatName val="0"/>
          <c:showSerName val="0"/>
          <c:showPercent val="0"/>
          <c:showBubbleSize val="0"/>
        </c:dLbls>
        <c:gapWidth val="182"/>
        <c:axId val="1755328720"/>
        <c:axId val="1081114144"/>
      </c:barChart>
      <c:catAx>
        <c:axId val="175532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14144"/>
        <c:crosses val="autoZero"/>
        <c:auto val="1"/>
        <c:lblAlgn val="ctr"/>
        <c:lblOffset val="100"/>
        <c:noMultiLvlLbl val="0"/>
      </c:catAx>
      <c:valAx>
        <c:axId val="108111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32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[SHAFI task 4.xlsx]PIVOT TABLE!PivotTable13</c:name>
    <c:fmtId val="8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Sale</a:t>
            </a:r>
            <a:r>
              <a:rPr lang="en-US" sz="900" b="1" baseline="0">
                <a:solidFill>
                  <a:schemeClr val="tx1"/>
                </a:solidFill>
              </a:rPr>
              <a:t> of product</a:t>
            </a:r>
            <a:endParaRPr lang="en-US" sz="900" b="1">
              <a:solidFill>
                <a:schemeClr val="tx1"/>
              </a:solidFill>
            </a:endParaRPr>
          </a:p>
        </c:rich>
      </c:tx>
      <c:layout>
        <c:manualLayout>
          <c:xMode val="edge"/>
          <c:yMode val="edge"/>
          <c:x val="1.303455818022748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TABLE'!$D$14:$D$20</c:f>
              <c:strCache>
                <c:ptCount val="6"/>
                <c:pt idx="0">
                  <c:v>Keyboard</c:v>
                </c:pt>
                <c:pt idx="1">
                  <c:v>Monitor</c:v>
                </c:pt>
                <c:pt idx="2">
                  <c:v>Mouse</c:v>
                </c:pt>
                <c:pt idx="3">
                  <c:v>Printer</c:v>
                </c:pt>
                <c:pt idx="4">
                  <c:v>Scanner</c:v>
                </c:pt>
                <c:pt idx="5">
                  <c:v>Speaker</c:v>
                </c:pt>
              </c:strCache>
            </c:strRef>
          </c:cat>
          <c:val>
            <c:numRef>
              <c:f>'PIVOT TABLE'!$E$14:$E$20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88DF-4A36-875A-008F0D32120D}"/>
            </c:ext>
          </c:extLst>
        </c:ser>
        <c:dLbls>
          <c:showLegendKey val="0"/>
          <c:showVal val="0"/>
          <c:showCatName val="0"/>
          <c:showSerName val="0"/>
          <c:showPercent val="0"/>
          <c:showBubbleSize val="0"/>
        </c:dLbls>
        <c:gapWidth val="182"/>
        <c:axId val="1210306480"/>
        <c:axId val="1211210592"/>
      </c:barChart>
      <c:catAx>
        <c:axId val="121030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10592"/>
        <c:crosses val="autoZero"/>
        <c:auto val="1"/>
        <c:lblAlgn val="ctr"/>
        <c:lblOffset val="100"/>
        <c:noMultiLvlLbl val="0"/>
      </c:catAx>
      <c:valAx>
        <c:axId val="1211210592"/>
        <c:scaling>
          <c:orientation val="minMax"/>
        </c:scaling>
        <c:delete val="1"/>
        <c:axPos val="b"/>
        <c:numFmt formatCode="0.00%" sourceLinked="1"/>
        <c:majorTickMark val="none"/>
        <c:minorTickMark val="none"/>
        <c:tickLblPos val="nextTo"/>
        <c:crossAx val="12103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svg"/><Relationship Id="rId7" Type="http://schemas.openxmlformats.org/officeDocument/2006/relationships/hyperlink" Target="#ABOUT!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PRODUCT!A1"/><Relationship Id="rId4" Type="http://schemas.openxmlformats.org/officeDocument/2006/relationships/hyperlink" Target="#DASHBOARD!A1"/><Relationship Id="rId9" Type="http://schemas.openxmlformats.org/officeDocument/2006/relationships/image" Target="../media/image5.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hyperlink" Target="#ABOUT!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PRODUCT!A1"/><Relationship Id="rId10" Type="http://schemas.openxmlformats.org/officeDocument/2006/relationships/chart" Target="../charts/chart3.xml"/><Relationship Id="rId4" Type="http://schemas.openxmlformats.org/officeDocument/2006/relationships/hyperlink" Target="#DASHBOARD!A1"/><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hyperlink" Target="#ABOUT!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PRODUCT!A1"/><Relationship Id="rId10" Type="http://schemas.openxmlformats.org/officeDocument/2006/relationships/chart" Target="../charts/chart6.xml"/><Relationship Id="rId4" Type="http://schemas.openxmlformats.org/officeDocument/2006/relationships/hyperlink" Target="#DASHBOARD!A1"/><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image" Target="../media/image3.svg"/><Relationship Id="rId7" Type="http://schemas.openxmlformats.org/officeDocument/2006/relationships/hyperlink" Target="#PRODUCT!A1"/><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7.svg"/><Relationship Id="rId5" Type="http://schemas.openxmlformats.org/officeDocument/2006/relationships/chart" Target="../charts/chart8.xml"/><Relationship Id="rId10" Type="http://schemas.openxmlformats.org/officeDocument/2006/relationships/image" Target="../media/image6.png"/><Relationship Id="rId4" Type="http://schemas.openxmlformats.org/officeDocument/2006/relationships/chart" Target="../charts/chart7.xml"/><Relationship Id="rId9" Type="http://schemas.openxmlformats.org/officeDocument/2006/relationships/hyperlink" Target="#ABOUT!A1"/></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8237</xdr:colOff>
      <xdr:row>0</xdr:row>
      <xdr:rowOff>0</xdr:rowOff>
    </xdr:from>
    <xdr:to>
      <xdr:col>18</xdr:col>
      <xdr:colOff>498929</xdr:colOff>
      <xdr:row>41</xdr:row>
      <xdr:rowOff>45357</xdr:rowOff>
    </xdr:to>
    <xdr:sp macro="" textlink="">
      <xdr:nvSpPr>
        <xdr:cNvPr id="2" name="Rectangle: Rounded Corners 1">
          <a:extLst>
            <a:ext uri="{FF2B5EF4-FFF2-40B4-BE49-F238E27FC236}">
              <a16:creationId xmlns:a16="http://schemas.microsoft.com/office/drawing/2014/main" id="{F9D9DA43-A37C-4A07-9922-7B76CCF993FD}"/>
            </a:ext>
          </a:extLst>
        </xdr:cNvPr>
        <xdr:cNvSpPr/>
      </xdr:nvSpPr>
      <xdr:spPr>
        <a:xfrm>
          <a:off x="8237" y="0"/>
          <a:ext cx="11512478" cy="7948839"/>
        </a:xfrm>
        <a:prstGeom prst="roundRect">
          <a:avLst>
            <a:gd name="adj" fmla="val 92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539725</xdr:colOff>
      <xdr:row>0</xdr:row>
      <xdr:rowOff>0</xdr:rowOff>
    </xdr:from>
    <xdr:to>
      <xdr:col>18</xdr:col>
      <xdr:colOff>286345</xdr:colOff>
      <xdr:row>36</xdr:row>
      <xdr:rowOff>70446</xdr:rowOff>
    </xdr:to>
    <xdr:sp macro="" textlink="">
      <xdr:nvSpPr>
        <xdr:cNvPr id="3" name="Rectangle: Rounded Corners 2">
          <a:extLst>
            <a:ext uri="{FF2B5EF4-FFF2-40B4-BE49-F238E27FC236}">
              <a16:creationId xmlns:a16="http://schemas.microsoft.com/office/drawing/2014/main" id="{6E192F31-9BC6-4D44-ABC3-7D1BAED6CB92}"/>
            </a:ext>
          </a:extLst>
        </xdr:cNvPr>
        <xdr:cNvSpPr/>
      </xdr:nvSpPr>
      <xdr:spPr>
        <a:xfrm>
          <a:off x="1764368" y="0"/>
          <a:ext cx="9543763" cy="7010089"/>
        </a:xfrm>
        <a:prstGeom prst="roundRect">
          <a:avLst>
            <a:gd name="adj" fmla="val 9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aaaaaa</a:t>
          </a:r>
        </a:p>
      </xdr:txBody>
    </xdr:sp>
    <xdr:clientData/>
  </xdr:twoCellAnchor>
  <xdr:twoCellAnchor editAs="oneCell">
    <xdr:from>
      <xdr:col>3</xdr:col>
      <xdr:colOff>107521</xdr:colOff>
      <xdr:row>1</xdr:row>
      <xdr:rowOff>22677</xdr:rowOff>
    </xdr:from>
    <xdr:to>
      <xdr:col>10</xdr:col>
      <xdr:colOff>436383</xdr:colOff>
      <xdr:row>6</xdr:row>
      <xdr:rowOff>121629</xdr:rowOff>
    </xdr:to>
    <xdr:pic>
      <xdr:nvPicPr>
        <xdr:cNvPr id="4" name="Picture 3">
          <a:extLst>
            <a:ext uri="{FF2B5EF4-FFF2-40B4-BE49-F238E27FC236}">
              <a16:creationId xmlns:a16="http://schemas.microsoft.com/office/drawing/2014/main" id="{80E09128-A00B-40C1-BFEA-441001625975}"/>
            </a:ext>
          </a:extLst>
        </xdr:cNvPr>
        <xdr:cNvPicPr>
          <a:picLocks noChangeAspect="1"/>
        </xdr:cNvPicPr>
      </xdr:nvPicPr>
      <xdr:blipFill>
        <a:blip xmlns:r="http://schemas.openxmlformats.org/officeDocument/2006/relationships" r:embed="rId1"/>
        <a:stretch>
          <a:fillRect/>
        </a:stretch>
      </xdr:blipFill>
      <xdr:spPr>
        <a:xfrm>
          <a:off x="1944485" y="215445"/>
          <a:ext cx="4615112" cy="1062791"/>
        </a:xfrm>
        <a:prstGeom prst="rect">
          <a:avLst/>
        </a:prstGeom>
      </xdr:spPr>
    </xdr:pic>
    <xdr:clientData/>
  </xdr:twoCellAnchor>
  <xdr:twoCellAnchor editAs="oneCell">
    <xdr:from>
      <xdr:col>10</xdr:col>
      <xdr:colOff>504634</xdr:colOff>
      <xdr:row>1</xdr:row>
      <xdr:rowOff>34018</xdr:rowOff>
    </xdr:from>
    <xdr:to>
      <xdr:col>18</xdr:col>
      <xdr:colOff>124732</xdr:colOff>
      <xdr:row>6</xdr:row>
      <xdr:rowOff>158750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F76ECF6-1D45-4407-A780-FA87DBD0CF4A}"/>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627848" y="226786"/>
              <a:ext cx="4518670" cy="1088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59540</xdr:colOff>
      <xdr:row>6</xdr:row>
      <xdr:rowOff>181429</xdr:rowOff>
    </xdr:from>
    <xdr:to>
      <xdr:col>18</xdr:col>
      <xdr:colOff>187875</xdr:colOff>
      <xdr:row>10</xdr:row>
      <xdr:rowOff>18739</xdr:rowOff>
    </xdr:to>
    <mc:AlternateContent xmlns:mc="http://schemas.openxmlformats.org/markup-compatibility/2006" xmlns:a14="http://schemas.microsoft.com/office/drawing/2010/main">
      <mc:Choice Requires="a14">
        <xdr:graphicFrame macro="">
          <xdr:nvGraphicFramePr>
            <xdr:cNvPr id="6" name="Item 7">
              <a:extLst>
                <a:ext uri="{FF2B5EF4-FFF2-40B4-BE49-F238E27FC236}">
                  <a16:creationId xmlns:a16="http://schemas.microsoft.com/office/drawing/2014/main" id="{17910B29-D75B-46D8-B567-A0C0FFF9464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1896504" y="1338036"/>
              <a:ext cx="9313157" cy="608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577825</xdr:colOff>
      <xdr:row>10</xdr:row>
      <xdr:rowOff>126880</xdr:rowOff>
    </xdr:from>
    <xdr:to>
      <xdr:col>18</xdr:col>
      <xdr:colOff>105872</xdr:colOff>
      <xdr:row>12</xdr:row>
      <xdr:rowOff>24350</xdr:rowOff>
    </xdr:to>
    <xdr:sp macro="" textlink="">
      <xdr:nvSpPr>
        <xdr:cNvPr id="7" name="Rectangle 6">
          <a:extLst>
            <a:ext uri="{FF2B5EF4-FFF2-40B4-BE49-F238E27FC236}">
              <a16:creationId xmlns:a16="http://schemas.microsoft.com/office/drawing/2014/main" id="{4C859728-8C16-42FF-8E55-D0F5428BED68}"/>
            </a:ext>
          </a:extLst>
        </xdr:cNvPr>
        <xdr:cNvSpPr/>
      </xdr:nvSpPr>
      <xdr:spPr>
        <a:xfrm>
          <a:off x="1802468" y="2054559"/>
          <a:ext cx="9325190" cy="28300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none"/>
            <a:t>                                                                                                                               ANALYTICS   </a:t>
          </a:r>
        </a:p>
        <a:p>
          <a:pPr algn="l"/>
          <a:endParaRPr lang="en-IN" sz="1100" b="1" u="none"/>
        </a:p>
        <a:p>
          <a:pPr algn="l"/>
          <a:r>
            <a:rPr lang="en-IN" sz="1100" b="1" u="none"/>
            <a:t> </a:t>
          </a:r>
        </a:p>
      </xdr:txBody>
    </xdr:sp>
    <xdr:clientData/>
  </xdr:twoCellAnchor>
  <xdr:twoCellAnchor editAs="oneCell">
    <xdr:from>
      <xdr:col>9</xdr:col>
      <xdr:colOff>58846</xdr:colOff>
      <xdr:row>10</xdr:row>
      <xdr:rowOff>119477</xdr:rowOff>
    </xdr:from>
    <xdr:to>
      <xdr:col>9</xdr:col>
      <xdr:colOff>419793</xdr:colOff>
      <xdr:row>12</xdr:row>
      <xdr:rowOff>57054</xdr:rowOff>
    </xdr:to>
    <xdr:pic>
      <xdr:nvPicPr>
        <xdr:cNvPr id="8" name="Graphic 7" descr="Bar chart with solid fill">
          <a:extLst>
            <a:ext uri="{FF2B5EF4-FFF2-40B4-BE49-F238E27FC236}">
              <a16:creationId xmlns:a16="http://schemas.microsoft.com/office/drawing/2014/main" id="{F0E64E8A-7997-4BF4-913B-F3F4AE3613A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69739" y="2047156"/>
          <a:ext cx="360947" cy="323112"/>
        </a:xfrm>
        <a:prstGeom prst="rect">
          <a:avLst/>
        </a:prstGeom>
      </xdr:spPr>
    </xdr:pic>
    <xdr:clientData/>
  </xdr:twoCellAnchor>
  <xdr:twoCellAnchor>
    <xdr:from>
      <xdr:col>0</xdr:col>
      <xdr:colOff>328839</xdr:colOff>
      <xdr:row>5</xdr:row>
      <xdr:rowOff>56696</xdr:rowOff>
    </xdr:from>
    <xdr:to>
      <xdr:col>2</xdr:col>
      <xdr:colOff>351518</xdr:colOff>
      <xdr:row>7</xdr:row>
      <xdr:rowOff>124732</xdr:rowOff>
    </xdr:to>
    <xdr:sp macro="" textlink="">
      <xdr:nvSpPr>
        <xdr:cNvPr id="9" name="Flowchart: Terminator 8">
          <a:hlinkClick xmlns:r="http://schemas.openxmlformats.org/officeDocument/2006/relationships" r:id="rId4"/>
          <a:extLst>
            <a:ext uri="{FF2B5EF4-FFF2-40B4-BE49-F238E27FC236}">
              <a16:creationId xmlns:a16="http://schemas.microsoft.com/office/drawing/2014/main" id="{0569C570-FD73-4887-B7DB-777E9AB7EDA1}"/>
            </a:ext>
          </a:extLst>
        </xdr:cNvPr>
        <xdr:cNvSpPr/>
      </xdr:nvSpPr>
      <xdr:spPr>
        <a:xfrm>
          <a:off x="328839" y="1009196"/>
          <a:ext cx="1241879" cy="449036"/>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DASHBOARD</a:t>
          </a:r>
        </a:p>
      </xdr:txBody>
    </xdr:sp>
    <xdr:clientData/>
  </xdr:twoCellAnchor>
  <xdr:twoCellAnchor>
    <xdr:from>
      <xdr:col>0</xdr:col>
      <xdr:colOff>317499</xdr:colOff>
      <xdr:row>8</xdr:row>
      <xdr:rowOff>124733</xdr:rowOff>
    </xdr:from>
    <xdr:to>
      <xdr:col>2</xdr:col>
      <xdr:colOff>362856</xdr:colOff>
      <xdr:row>11</xdr:row>
      <xdr:rowOff>34019</xdr:rowOff>
    </xdr:to>
    <xdr:sp macro="" textlink="">
      <xdr:nvSpPr>
        <xdr:cNvPr id="10" name="Flowchart: Terminator 9">
          <a:hlinkClick xmlns:r="http://schemas.openxmlformats.org/officeDocument/2006/relationships" r:id="rId5"/>
          <a:extLst>
            <a:ext uri="{FF2B5EF4-FFF2-40B4-BE49-F238E27FC236}">
              <a16:creationId xmlns:a16="http://schemas.microsoft.com/office/drawing/2014/main" id="{C118BA1E-2CBE-4E14-8037-80066652E507}"/>
            </a:ext>
          </a:extLst>
        </xdr:cNvPr>
        <xdr:cNvSpPr/>
      </xdr:nvSpPr>
      <xdr:spPr>
        <a:xfrm>
          <a:off x="317499" y="1648733"/>
          <a:ext cx="1264557" cy="480786"/>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PRODUCTS</a:t>
          </a:r>
        </a:p>
        <a:p>
          <a:pPr algn="l"/>
          <a:endParaRPr lang="en-IN" sz="1100"/>
        </a:p>
      </xdr:txBody>
    </xdr:sp>
    <xdr:clientData/>
  </xdr:twoCellAnchor>
  <xdr:twoCellAnchor>
    <xdr:from>
      <xdr:col>0</xdr:col>
      <xdr:colOff>294821</xdr:colOff>
      <xdr:row>12</xdr:row>
      <xdr:rowOff>0</xdr:rowOff>
    </xdr:from>
    <xdr:to>
      <xdr:col>2</xdr:col>
      <xdr:colOff>374196</xdr:colOff>
      <xdr:row>14</xdr:row>
      <xdr:rowOff>124731</xdr:rowOff>
    </xdr:to>
    <xdr:sp macro="" textlink="">
      <xdr:nvSpPr>
        <xdr:cNvPr id="11" name="Flowchart: Terminator 10">
          <a:hlinkClick xmlns:r="http://schemas.openxmlformats.org/officeDocument/2006/relationships" r:id="rId6"/>
          <a:extLst>
            <a:ext uri="{FF2B5EF4-FFF2-40B4-BE49-F238E27FC236}">
              <a16:creationId xmlns:a16="http://schemas.microsoft.com/office/drawing/2014/main" id="{60B40F84-F758-47A5-BE15-0291365AFB41}"/>
            </a:ext>
          </a:extLst>
        </xdr:cNvPr>
        <xdr:cNvSpPr/>
      </xdr:nvSpPr>
      <xdr:spPr>
        <a:xfrm>
          <a:off x="294821" y="2286000"/>
          <a:ext cx="1298575" cy="505731"/>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SALESMAN</a:t>
          </a:r>
        </a:p>
      </xdr:txBody>
    </xdr:sp>
    <xdr:clientData/>
  </xdr:twoCellAnchor>
  <xdr:twoCellAnchor>
    <xdr:from>
      <xdr:col>0</xdr:col>
      <xdr:colOff>283483</xdr:colOff>
      <xdr:row>16</xdr:row>
      <xdr:rowOff>34018</xdr:rowOff>
    </xdr:from>
    <xdr:to>
      <xdr:col>2</xdr:col>
      <xdr:colOff>419554</xdr:colOff>
      <xdr:row>18</xdr:row>
      <xdr:rowOff>181430</xdr:rowOff>
    </xdr:to>
    <xdr:sp macro="" textlink="">
      <xdr:nvSpPr>
        <xdr:cNvPr id="12" name="Flowchart: Terminator 11">
          <a:hlinkClick xmlns:r="http://schemas.openxmlformats.org/officeDocument/2006/relationships" r:id="rId7"/>
          <a:extLst>
            <a:ext uri="{FF2B5EF4-FFF2-40B4-BE49-F238E27FC236}">
              <a16:creationId xmlns:a16="http://schemas.microsoft.com/office/drawing/2014/main" id="{2359CF70-DDDD-4733-A1D2-E5DA8AC4BB2D}"/>
            </a:ext>
          </a:extLst>
        </xdr:cNvPr>
        <xdr:cNvSpPr/>
      </xdr:nvSpPr>
      <xdr:spPr>
        <a:xfrm>
          <a:off x="283483" y="3082018"/>
          <a:ext cx="1355271" cy="528412"/>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ABOUT</a:t>
          </a:r>
        </a:p>
        <a:p>
          <a:pPr algn="l"/>
          <a:endParaRPr lang="en-IN" sz="1100">
            <a:solidFill>
              <a:schemeClr val="tx1"/>
            </a:solidFill>
          </a:endParaRPr>
        </a:p>
      </xdr:txBody>
    </xdr:sp>
    <xdr:clientData/>
  </xdr:twoCellAnchor>
  <xdr:twoCellAnchor editAs="oneCell">
    <xdr:from>
      <xdr:col>3</xdr:col>
      <xdr:colOff>204107</xdr:colOff>
      <xdr:row>12</xdr:row>
      <xdr:rowOff>136072</xdr:rowOff>
    </xdr:from>
    <xdr:to>
      <xdr:col>4</xdr:col>
      <xdr:colOff>187064</xdr:colOff>
      <xdr:row>15</xdr:row>
      <xdr:rowOff>102054</xdr:rowOff>
    </xdr:to>
    <xdr:pic>
      <xdr:nvPicPr>
        <xdr:cNvPr id="17" name="Graphic 16" descr="User with solid fill">
          <a:extLst>
            <a:ext uri="{FF2B5EF4-FFF2-40B4-BE49-F238E27FC236}">
              <a16:creationId xmlns:a16="http://schemas.microsoft.com/office/drawing/2014/main" id="{A570C1CF-20BA-DF8A-067D-A858FA05C7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41071" y="2449286"/>
          <a:ext cx="595279" cy="544286"/>
        </a:xfrm>
        <a:prstGeom prst="rect">
          <a:avLst/>
        </a:prstGeom>
      </xdr:spPr>
    </xdr:pic>
    <xdr:clientData/>
  </xdr:twoCellAnchor>
  <xdr:twoCellAnchor>
    <xdr:from>
      <xdr:col>4</xdr:col>
      <xdr:colOff>158750</xdr:colOff>
      <xdr:row>13</xdr:row>
      <xdr:rowOff>90716</xdr:rowOff>
    </xdr:from>
    <xdr:to>
      <xdr:col>5</xdr:col>
      <xdr:colOff>532947</xdr:colOff>
      <xdr:row>15</xdr:row>
      <xdr:rowOff>79376</xdr:rowOff>
    </xdr:to>
    <xdr:sp macro="" textlink="">
      <xdr:nvSpPr>
        <xdr:cNvPr id="20" name="TextBox 19">
          <a:extLst>
            <a:ext uri="{FF2B5EF4-FFF2-40B4-BE49-F238E27FC236}">
              <a16:creationId xmlns:a16="http://schemas.microsoft.com/office/drawing/2014/main" id="{1EC98192-0207-DE35-5A46-8A91C6702A50}"/>
            </a:ext>
          </a:extLst>
        </xdr:cNvPr>
        <xdr:cNvSpPr txBox="1"/>
      </xdr:nvSpPr>
      <xdr:spPr>
        <a:xfrm>
          <a:off x="2608036" y="2596698"/>
          <a:ext cx="986518" cy="374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ABOUT :</a:t>
          </a:r>
        </a:p>
      </xdr:txBody>
    </xdr:sp>
    <xdr:clientData/>
  </xdr:twoCellAnchor>
  <xdr:twoCellAnchor>
    <xdr:from>
      <xdr:col>2</xdr:col>
      <xdr:colOff>532947</xdr:colOff>
      <xdr:row>15</xdr:row>
      <xdr:rowOff>90714</xdr:rowOff>
    </xdr:from>
    <xdr:to>
      <xdr:col>18</xdr:col>
      <xdr:colOff>90715</xdr:colOff>
      <xdr:row>35</xdr:row>
      <xdr:rowOff>181429</xdr:rowOff>
    </xdr:to>
    <xdr:sp macro="" textlink="">
      <xdr:nvSpPr>
        <xdr:cNvPr id="21" name="Rectangle: Rounded Corners 20">
          <a:extLst>
            <a:ext uri="{FF2B5EF4-FFF2-40B4-BE49-F238E27FC236}">
              <a16:creationId xmlns:a16="http://schemas.microsoft.com/office/drawing/2014/main" id="{D6E4DA72-75E9-4B12-A77A-03E107A7646C}"/>
            </a:ext>
          </a:extLst>
        </xdr:cNvPr>
        <xdr:cNvSpPr/>
      </xdr:nvSpPr>
      <xdr:spPr>
        <a:xfrm>
          <a:off x="1757590" y="2982232"/>
          <a:ext cx="9354911" cy="3946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283482</xdr:colOff>
      <xdr:row>20</xdr:row>
      <xdr:rowOff>124732</xdr:rowOff>
    </xdr:from>
    <xdr:to>
      <xdr:col>6</xdr:col>
      <xdr:colOff>238125</xdr:colOff>
      <xdr:row>22</xdr:row>
      <xdr:rowOff>124732</xdr:rowOff>
    </xdr:to>
    <xdr:sp macro="" textlink="">
      <xdr:nvSpPr>
        <xdr:cNvPr id="22" name="TextBox 21">
          <a:extLst>
            <a:ext uri="{FF2B5EF4-FFF2-40B4-BE49-F238E27FC236}">
              <a16:creationId xmlns:a16="http://schemas.microsoft.com/office/drawing/2014/main" id="{B9A0F4D6-7E4C-8ACE-B023-1E932CBD1F7B}"/>
            </a:ext>
          </a:extLst>
        </xdr:cNvPr>
        <xdr:cNvSpPr txBox="1"/>
      </xdr:nvSpPr>
      <xdr:spPr>
        <a:xfrm>
          <a:off x="2120446" y="3980089"/>
          <a:ext cx="1791608" cy="385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Project</a:t>
          </a:r>
          <a:r>
            <a:rPr lang="en-IN" sz="1100" baseline="0"/>
            <a:t> Developer :</a:t>
          </a:r>
        </a:p>
        <a:p>
          <a:endParaRPr lang="en-IN" sz="1100" baseline="0"/>
        </a:p>
        <a:p>
          <a:endParaRPr lang="en-IN" sz="1100"/>
        </a:p>
      </xdr:txBody>
    </xdr:sp>
    <xdr:clientData/>
  </xdr:twoCellAnchor>
  <xdr:twoCellAnchor>
    <xdr:from>
      <xdr:col>3</xdr:col>
      <xdr:colOff>238125</xdr:colOff>
      <xdr:row>29</xdr:row>
      <xdr:rowOff>102053</xdr:rowOff>
    </xdr:from>
    <xdr:to>
      <xdr:col>5</xdr:col>
      <xdr:colOff>362857</xdr:colOff>
      <xdr:row>31</xdr:row>
      <xdr:rowOff>113392</xdr:rowOff>
    </xdr:to>
    <xdr:sp macro="" textlink="">
      <xdr:nvSpPr>
        <xdr:cNvPr id="23" name="TextBox 22">
          <a:extLst>
            <a:ext uri="{FF2B5EF4-FFF2-40B4-BE49-F238E27FC236}">
              <a16:creationId xmlns:a16="http://schemas.microsoft.com/office/drawing/2014/main" id="{63F01208-F48B-7EDC-0F7B-BC9A71BE0002}"/>
            </a:ext>
          </a:extLst>
        </xdr:cNvPr>
        <xdr:cNvSpPr txBox="1"/>
      </xdr:nvSpPr>
      <xdr:spPr>
        <a:xfrm>
          <a:off x="2075089" y="5692321"/>
          <a:ext cx="1349375" cy="396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Version :</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8237</xdr:colOff>
      <xdr:row>0</xdr:row>
      <xdr:rowOff>0</xdr:rowOff>
    </xdr:from>
    <xdr:to>
      <xdr:col>18</xdr:col>
      <xdr:colOff>498929</xdr:colOff>
      <xdr:row>41</xdr:row>
      <xdr:rowOff>45357</xdr:rowOff>
    </xdr:to>
    <xdr:sp macro="" textlink="">
      <xdr:nvSpPr>
        <xdr:cNvPr id="2" name="Rectangle: Rounded Corners 1">
          <a:extLst>
            <a:ext uri="{FF2B5EF4-FFF2-40B4-BE49-F238E27FC236}">
              <a16:creationId xmlns:a16="http://schemas.microsoft.com/office/drawing/2014/main" id="{696B0CC2-AECA-4869-98EA-F3C10E2801EB}"/>
            </a:ext>
          </a:extLst>
        </xdr:cNvPr>
        <xdr:cNvSpPr/>
      </xdr:nvSpPr>
      <xdr:spPr>
        <a:xfrm>
          <a:off x="8237" y="0"/>
          <a:ext cx="11463492" cy="7855857"/>
        </a:xfrm>
        <a:prstGeom prst="roundRect">
          <a:avLst>
            <a:gd name="adj" fmla="val 92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562405</xdr:colOff>
      <xdr:row>0</xdr:row>
      <xdr:rowOff>181784</xdr:rowOff>
    </xdr:from>
    <xdr:to>
      <xdr:col>18</xdr:col>
      <xdr:colOff>309025</xdr:colOff>
      <xdr:row>37</xdr:row>
      <xdr:rowOff>59462</xdr:rowOff>
    </xdr:to>
    <xdr:sp macro="" textlink="">
      <xdr:nvSpPr>
        <xdr:cNvPr id="3" name="Rectangle: Rounded Corners 2">
          <a:extLst>
            <a:ext uri="{FF2B5EF4-FFF2-40B4-BE49-F238E27FC236}">
              <a16:creationId xmlns:a16="http://schemas.microsoft.com/office/drawing/2014/main" id="{090A3C06-7709-4E13-87CD-8FAF45E7D37D}"/>
            </a:ext>
          </a:extLst>
        </xdr:cNvPr>
        <xdr:cNvSpPr/>
      </xdr:nvSpPr>
      <xdr:spPr>
        <a:xfrm>
          <a:off x="1787048" y="181784"/>
          <a:ext cx="9543763" cy="7010089"/>
        </a:xfrm>
        <a:prstGeom prst="roundRect">
          <a:avLst>
            <a:gd name="adj" fmla="val 9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62164</xdr:colOff>
      <xdr:row>1</xdr:row>
      <xdr:rowOff>70185</xdr:rowOff>
    </xdr:from>
    <xdr:to>
      <xdr:col>10</xdr:col>
      <xdr:colOff>391026</xdr:colOff>
      <xdr:row>7</xdr:row>
      <xdr:rowOff>110290</xdr:rowOff>
    </xdr:to>
    <xdr:pic>
      <xdr:nvPicPr>
        <xdr:cNvPr id="4" name="Picture 3">
          <a:extLst>
            <a:ext uri="{FF2B5EF4-FFF2-40B4-BE49-F238E27FC236}">
              <a16:creationId xmlns:a16="http://schemas.microsoft.com/office/drawing/2014/main" id="{AE69FE49-031F-4679-9167-30E9149B13AB}"/>
            </a:ext>
          </a:extLst>
        </xdr:cNvPr>
        <xdr:cNvPicPr>
          <a:picLocks noChangeAspect="1"/>
        </xdr:cNvPicPr>
      </xdr:nvPicPr>
      <xdr:blipFill>
        <a:blip xmlns:r="http://schemas.openxmlformats.org/officeDocument/2006/relationships" r:embed="rId1"/>
        <a:stretch>
          <a:fillRect/>
        </a:stretch>
      </xdr:blipFill>
      <xdr:spPr>
        <a:xfrm>
          <a:off x="1890964" y="260685"/>
          <a:ext cx="4596062" cy="1183105"/>
        </a:xfrm>
        <a:prstGeom prst="rect">
          <a:avLst/>
        </a:prstGeom>
      </xdr:spPr>
    </xdr:pic>
    <xdr:clientData/>
  </xdr:twoCellAnchor>
  <xdr:twoCellAnchor editAs="oneCell">
    <xdr:from>
      <xdr:col>10</xdr:col>
      <xdr:colOff>561330</xdr:colOff>
      <xdr:row>1</xdr:row>
      <xdr:rowOff>34018</xdr:rowOff>
    </xdr:from>
    <xdr:to>
      <xdr:col>18</xdr:col>
      <xdr:colOff>181428</xdr:colOff>
      <xdr:row>6</xdr:row>
      <xdr:rowOff>158750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9109397C-F59D-4BDA-824E-7BCECD6F4B4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684544" y="226786"/>
              <a:ext cx="4518670" cy="1088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82219</xdr:colOff>
      <xdr:row>8</xdr:row>
      <xdr:rowOff>0</xdr:rowOff>
    </xdr:from>
    <xdr:to>
      <xdr:col>18</xdr:col>
      <xdr:colOff>210554</xdr:colOff>
      <xdr:row>11</xdr:row>
      <xdr:rowOff>30079</xdr:rowOff>
    </xdr:to>
    <mc:AlternateContent xmlns:mc="http://schemas.openxmlformats.org/markup-compatibility/2006" xmlns:a14="http://schemas.microsoft.com/office/drawing/2010/main">
      <mc:Choice Requires="a14">
        <xdr:graphicFrame macro="">
          <xdr:nvGraphicFramePr>
            <xdr:cNvPr id="6" name="Item 6">
              <a:extLst>
                <a:ext uri="{FF2B5EF4-FFF2-40B4-BE49-F238E27FC236}">
                  <a16:creationId xmlns:a16="http://schemas.microsoft.com/office/drawing/2014/main" id="{52C71585-821F-4613-AAC8-CBD46C7986C5}"/>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1919183" y="1542143"/>
              <a:ext cx="9313157" cy="608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90237</xdr:colOff>
      <xdr:row>11</xdr:row>
      <xdr:rowOff>70184</xdr:rowOff>
    </xdr:from>
    <xdr:to>
      <xdr:col>18</xdr:col>
      <xdr:colOff>230605</xdr:colOff>
      <xdr:row>12</xdr:row>
      <xdr:rowOff>160421</xdr:rowOff>
    </xdr:to>
    <xdr:sp macro="" textlink="">
      <xdr:nvSpPr>
        <xdr:cNvPr id="7" name="Rectangle 6">
          <a:extLst>
            <a:ext uri="{FF2B5EF4-FFF2-40B4-BE49-F238E27FC236}">
              <a16:creationId xmlns:a16="http://schemas.microsoft.com/office/drawing/2014/main" id="{3493EBC2-8EB7-4073-B1A8-4F37834591F1}"/>
            </a:ext>
          </a:extLst>
        </xdr:cNvPr>
        <xdr:cNvSpPr/>
      </xdr:nvSpPr>
      <xdr:spPr>
        <a:xfrm>
          <a:off x="1919037" y="2165684"/>
          <a:ext cx="9284368" cy="28073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none"/>
            <a:t>                                                                                                                               ANALYTICS   </a:t>
          </a:r>
        </a:p>
        <a:p>
          <a:pPr algn="l"/>
          <a:endParaRPr lang="en-IN" sz="1100" b="1" u="none"/>
        </a:p>
        <a:p>
          <a:pPr algn="l"/>
          <a:r>
            <a:rPr lang="en-IN" sz="1100" b="1" u="none"/>
            <a:t> </a:t>
          </a:r>
        </a:p>
      </xdr:txBody>
    </xdr:sp>
    <xdr:clientData/>
  </xdr:twoCellAnchor>
  <xdr:twoCellAnchor editAs="oneCell">
    <xdr:from>
      <xdr:col>9</xdr:col>
      <xdr:colOff>70185</xdr:colOff>
      <xdr:row>11</xdr:row>
      <xdr:rowOff>40103</xdr:rowOff>
    </xdr:from>
    <xdr:to>
      <xdr:col>9</xdr:col>
      <xdr:colOff>431132</xdr:colOff>
      <xdr:row>12</xdr:row>
      <xdr:rowOff>170447</xdr:rowOff>
    </xdr:to>
    <xdr:pic>
      <xdr:nvPicPr>
        <xdr:cNvPr id="8" name="Graphic 7" descr="Bar chart with solid fill">
          <a:extLst>
            <a:ext uri="{FF2B5EF4-FFF2-40B4-BE49-F238E27FC236}">
              <a16:creationId xmlns:a16="http://schemas.microsoft.com/office/drawing/2014/main" id="{B54AB79A-22D3-4601-995E-BBB735BC4DC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56585" y="2135603"/>
          <a:ext cx="360947" cy="320844"/>
        </a:xfrm>
        <a:prstGeom prst="rect">
          <a:avLst/>
        </a:prstGeom>
      </xdr:spPr>
    </xdr:pic>
    <xdr:clientData/>
  </xdr:twoCellAnchor>
  <xdr:twoCellAnchor>
    <xdr:from>
      <xdr:col>0</xdr:col>
      <xdr:colOff>328839</xdr:colOff>
      <xdr:row>5</xdr:row>
      <xdr:rowOff>56696</xdr:rowOff>
    </xdr:from>
    <xdr:to>
      <xdr:col>2</xdr:col>
      <xdr:colOff>351518</xdr:colOff>
      <xdr:row>7</xdr:row>
      <xdr:rowOff>124732</xdr:rowOff>
    </xdr:to>
    <xdr:sp macro="" textlink="">
      <xdr:nvSpPr>
        <xdr:cNvPr id="9" name="Flowchart: Terminator 8">
          <a:hlinkClick xmlns:r="http://schemas.openxmlformats.org/officeDocument/2006/relationships" r:id="rId4"/>
          <a:extLst>
            <a:ext uri="{FF2B5EF4-FFF2-40B4-BE49-F238E27FC236}">
              <a16:creationId xmlns:a16="http://schemas.microsoft.com/office/drawing/2014/main" id="{0F9FA811-6774-4AFE-949D-D8CC02DD9623}"/>
            </a:ext>
          </a:extLst>
        </xdr:cNvPr>
        <xdr:cNvSpPr/>
      </xdr:nvSpPr>
      <xdr:spPr>
        <a:xfrm>
          <a:off x="328839" y="1009196"/>
          <a:ext cx="1241879" cy="449036"/>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DASHBOARD</a:t>
          </a:r>
        </a:p>
      </xdr:txBody>
    </xdr:sp>
    <xdr:clientData/>
  </xdr:twoCellAnchor>
  <xdr:twoCellAnchor>
    <xdr:from>
      <xdr:col>0</xdr:col>
      <xdr:colOff>317499</xdr:colOff>
      <xdr:row>8</xdr:row>
      <xdr:rowOff>124733</xdr:rowOff>
    </xdr:from>
    <xdr:to>
      <xdr:col>2</xdr:col>
      <xdr:colOff>362856</xdr:colOff>
      <xdr:row>11</xdr:row>
      <xdr:rowOff>34019</xdr:rowOff>
    </xdr:to>
    <xdr:sp macro="" textlink="">
      <xdr:nvSpPr>
        <xdr:cNvPr id="10" name="Flowchart: Terminator 9">
          <a:hlinkClick xmlns:r="http://schemas.openxmlformats.org/officeDocument/2006/relationships" r:id="rId5"/>
          <a:extLst>
            <a:ext uri="{FF2B5EF4-FFF2-40B4-BE49-F238E27FC236}">
              <a16:creationId xmlns:a16="http://schemas.microsoft.com/office/drawing/2014/main" id="{FCDA3A3A-082D-4CD3-9AFE-78AE61E2B40B}"/>
            </a:ext>
          </a:extLst>
        </xdr:cNvPr>
        <xdr:cNvSpPr/>
      </xdr:nvSpPr>
      <xdr:spPr>
        <a:xfrm>
          <a:off x="317499" y="1648733"/>
          <a:ext cx="1264557" cy="480786"/>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PRODUCTS</a:t>
          </a:r>
        </a:p>
        <a:p>
          <a:pPr algn="l"/>
          <a:endParaRPr lang="en-IN" sz="1100"/>
        </a:p>
      </xdr:txBody>
    </xdr:sp>
    <xdr:clientData/>
  </xdr:twoCellAnchor>
  <xdr:twoCellAnchor>
    <xdr:from>
      <xdr:col>0</xdr:col>
      <xdr:colOff>294821</xdr:colOff>
      <xdr:row>12</xdr:row>
      <xdr:rowOff>0</xdr:rowOff>
    </xdr:from>
    <xdr:to>
      <xdr:col>2</xdr:col>
      <xdr:colOff>374196</xdr:colOff>
      <xdr:row>14</xdr:row>
      <xdr:rowOff>124731</xdr:rowOff>
    </xdr:to>
    <xdr:sp macro="" textlink="">
      <xdr:nvSpPr>
        <xdr:cNvPr id="11" name="Flowchart: Terminator 10">
          <a:hlinkClick xmlns:r="http://schemas.openxmlformats.org/officeDocument/2006/relationships" r:id="rId6"/>
          <a:extLst>
            <a:ext uri="{FF2B5EF4-FFF2-40B4-BE49-F238E27FC236}">
              <a16:creationId xmlns:a16="http://schemas.microsoft.com/office/drawing/2014/main" id="{698A2C39-3828-4FD2-8500-D1EF10D048AD}"/>
            </a:ext>
          </a:extLst>
        </xdr:cNvPr>
        <xdr:cNvSpPr/>
      </xdr:nvSpPr>
      <xdr:spPr>
        <a:xfrm>
          <a:off x="294821" y="2286000"/>
          <a:ext cx="1298575" cy="505731"/>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SALESMAN</a:t>
          </a:r>
        </a:p>
      </xdr:txBody>
    </xdr:sp>
    <xdr:clientData/>
  </xdr:twoCellAnchor>
  <xdr:twoCellAnchor>
    <xdr:from>
      <xdr:col>0</xdr:col>
      <xdr:colOff>283483</xdr:colOff>
      <xdr:row>15</xdr:row>
      <xdr:rowOff>170090</xdr:rowOff>
    </xdr:from>
    <xdr:to>
      <xdr:col>2</xdr:col>
      <xdr:colOff>419554</xdr:colOff>
      <xdr:row>18</xdr:row>
      <xdr:rowOff>124734</xdr:rowOff>
    </xdr:to>
    <xdr:sp macro="" textlink="">
      <xdr:nvSpPr>
        <xdr:cNvPr id="12" name="Flowchart: Terminator 11">
          <a:hlinkClick xmlns:r="http://schemas.openxmlformats.org/officeDocument/2006/relationships" r:id="rId7"/>
          <a:extLst>
            <a:ext uri="{FF2B5EF4-FFF2-40B4-BE49-F238E27FC236}">
              <a16:creationId xmlns:a16="http://schemas.microsoft.com/office/drawing/2014/main" id="{79FFF09B-7075-4F3D-9469-1A15C2F87223}"/>
            </a:ext>
          </a:extLst>
        </xdr:cNvPr>
        <xdr:cNvSpPr/>
      </xdr:nvSpPr>
      <xdr:spPr>
        <a:xfrm>
          <a:off x="283483" y="3061608"/>
          <a:ext cx="1360714" cy="532947"/>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ABOUT</a:t>
          </a:r>
        </a:p>
        <a:p>
          <a:pPr algn="l"/>
          <a:endParaRPr lang="en-IN" sz="1100"/>
        </a:p>
      </xdr:txBody>
    </xdr:sp>
    <xdr:clientData/>
  </xdr:twoCellAnchor>
  <xdr:twoCellAnchor>
    <xdr:from>
      <xdr:col>3</xdr:col>
      <xdr:colOff>80713</xdr:colOff>
      <xdr:row>13</xdr:row>
      <xdr:rowOff>23033</xdr:rowOff>
    </xdr:from>
    <xdr:to>
      <xdr:col>10</xdr:col>
      <xdr:colOff>366463</xdr:colOff>
      <xdr:row>36</xdr:row>
      <xdr:rowOff>22678</xdr:rowOff>
    </xdr:to>
    <xdr:graphicFrame macro="">
      <xdr:nvGraphicFramePr>
        <xdr:cNvPr id="16" name="Chart 15">
          <a:extLst>
            <a:ext uri="{FF2B5EF4-FFF2-40B4-BE49-F238E27FC236}">
              <a16:creationId xmlns:a16="http://schemas.microsoft.com/office/drawing/2014/main" id="{DCDF72C7-82BE-462E-AC73-5F098ED13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426335</xdr:colOff>
      <xdr:row>13</xdr:row>
      <xdr:rowOff>45713</xdr:rowOff>
    </xdr:from>
    <xdr:to>
      <xdr:col>18</xdr:col>
      <xdr:colOff>215446</xdr:colOff>
      <xdr:row>25</xdr:row>
      <xdr:rowOff>47074</xdr:rowOff>
    </xdr:to>
    <xdr:graphicFrame macro="">
      <xdr:nvGraphicFramePr>
        <xdr:cNvPr id="17" name="Chart 16">
          <a:extLst>
            <a:ext uri="{FF2B5EF4-FFF2-40B4-BE49-F238E27FC236}">
              <a16:creationId xmlns:a16="http://schemas.microsoft.com/office/drawing/2014/main" id="{F9DB3949-D76C-4984-857D-28CF22385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460352</xdr:colOff>
      <xdr:row>25</xdr:row>
      <xdr:rowOff>136072</xdr:rowOff>
    </xdr:from>
    <xdr:to>
      <xdr:col>18</xdr:col>
      <xdr:colOff>238125</xdr:colOff>
      <xdr:row>36</xdr:row>
      <xdr:rowOff>134613</xdr:rowOff>
    </xdr:to>
    <xdr:graphicFrame macro="">
      <xdr:nvGraphicFramePr>
        <xdr:cNvPr id="18" name="Chart 17">
          <a:extLst>
            <a:ext uri="{FF2B5EF4-FFF2-40B4-BE49-F238E27FC236}">
              <a16:creationId xmlns:a16="http://schemas.microsoft.com/office/drawing/2014/main" id="{D4BCDD1D-732D-4BDD-ADBD-B123F6829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8237</xdr:colOff>
      <xdr:row>0</xdr:row>
      <xdr:rowOff>0</xdr:rowOff>
    </xdr:from>
    <xdr:to>
      <xdr:col>18</xdr:col>
      <xdr:colOff>498929</xdr:colOff>
      <xdr:row>41</xdr:row>
      <xdr:rowOff>45357</xdr:rowOff>
    </xdr:to>
    <xdr:sp macro="" textlink="">
      <xdr:nvSpPr>
        <xdr:cNvPr id="2" name="Rectangle: Rounded Corners 1">
          <a:extLst>
            <a:ext uri="{FF2B5EF4-FFF2-40B4-BE49-F238E27FC236}">
              <a16:creationId xmlns:a16="http://schemas.microsoft.com/office/drawing/2014/main" id="{56BCDE03-9016-41DC-B31D-F1042D0A2D8D}"/>
            </a:ext>
          </a:extLst>
        </xdr:cNvPr>
        <xdr:cNvSpPr/>
      </xdr:nvSpPr>
      <xdr:spPr>
        <a:xfrm>
          <a:off x="8237" y="0"/>
          <a:ext cx="11463492" cy="7855857"/>
        </a:xfrm>
        <a:prstGeom prst="roundRect">
          <a:avLst>
            <a:gd name="adj" fmla="val 92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596424</xdr:colOff>
      <xdr:row>0</xdr:row>
      <xdr:rowOff>125088</xdr:rowOff>
    </xdr:from>
    <xdr:to>
      <xdr:col>18</xdr:col>
      <xdr:colOff>343044</xdr:colOff>
      <xdr:row>37</xdr:row>
      <xdr:rowOff>2766</xdr:rowOff>
    </xdr:to>
    <xdr:sp macro="" textlink="">
      <xdr:nvSpPr>
        <xdr:cNvPr id="3" name="Rectangle: Rounded Corners 2">
          <a:extLst>
            <a:ext uri="{FF2B5EF4-FFF2-40B4-BE49-F238E27FC236}">
              <a16:creationId xmlns:a16="http://schemas.microsoft.com/office/drawing/2014/main" id="{794969C8-1BC9-4396-9FCE-FA569B4E309E}"/>
            </a:ext>
          </a:extLst>
        </xdr:cNvPr>
        <xdr:cNvSpPr/>
      </xdr:nvSpPr>
      <xdr:spPr>
        <a:xfrm>
          <a:off x="1815624" y="125088"/>
          <a:ext cx="9500220" cy="6926178"/>
        </a:xfrm>
        <a:prstGeom prst="roundRect">
          <a:avLst>
            <a:gd name="adj" fmla="val 9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62164</xdr:colOff>
      <xdr:row>1</xdr:row>
      <xdr:rowOff>70185</xdr:rowOff>
    </xdr:from>
    <xdr:to>
      <xdr:col>10</xdr:col>
      <xdr:colOff>391026</xdr:colOff>
      <xdr:row>7</xdr:row>
      <xdr:rowOff>110290</xdr:rowOff>
    </xdr:to>
    <xdr:pic>
      <xdr:nvPicPr>
        <xdr:cNvPr id="4" name="Picture 3">
          <a:extLst>
            <a:ext uri="{FF2B5EF4-FFF2-40B4-BE49-F238E27FC236}">
              <a16:creationId xmlns:a16="http://schemas.microsoft.com/office/drawing/2014/main" id="{77CD030E-BF33-46D5-99E4-6BA26D97C12B}"/>
            </a:ext>
          </a:extLst>
        </xdr:cNvPr>
        <xdr:cNvPicPr>
          <a:picLocks noChangeAspect="1"/>
        </xdr:cNvPicPr>
      </xdr:nvPicPr>
      <xdr:blipFill>
        <a:blip xmlns:r="http://schemas.openxmlformats.org/officeDocument/2006/relationships" r:embed="rId1"/>
        <a:stretch>
          <a:fillRect/>
        </a:stretch>
      </xdr:blipFill>
      <xdr:spPr>
        <a:xfrm>
          <a:off x="1890964" y="260685"/>
          <a:ext cx="4596062" cy="1183105"/>
        </a:xfrm>
        <a:prstGeom prst="rect">
          <a:avLst/>
        </a:prstGeom>
      </xdr:spPr>
    </xdr:pic>
    <xdr:clientData/>
  </xdr:twoCellAnchor>
  <xdr:twoCellAnchor editAs="oneCell">
    <xdr:from>
      <xdr:col>10</xdr:col>
      <xdr:colOff>447937</xdr:colOff>
      <xdr:row>1</xdr:row>
      <xdr:rowOff>90714</xdr:rowOff>
    </xdr:from>
    <xdr:to>
      <xdr:col>18</xdr:col>
      <xdr:colOff>68035</xdr:colOff>
      <xdr:row>7</xdr:row>
      <xdr:rowOff>22678</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BB01E24C-55CB-4C6D-9A01-8065FA04B03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571151" y="283482"/>
              <a:ext cx="4518670" cy="1088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82219</xdr:colOff>
      <xdr:row>8</xdr:row>
      <xdr:rowOff>0</xdr:rowOff>
    </xdr:from>
    <xdr:to>
      <xdr:col>18</xdr:col>
      <xdr:colOff>210554</xdr:colOff>
      <xdr:row>11</xdr:row>
      <xdr:rowOff>30079</xdr:rowOff>
    </xdr:to>
    <mc:AlternateContent xmlns:mc="http://schemas.openxmlformats.org/markup-compatibility/2006" xmlns:a14="http://schemas.microsoft.com/office/drawing/2010/main">
      <mc:Choice Requires="a14">
        <xdr:graphicFrame macro="">
          <xdr:nvGraphicFramePr>
            <xdr:cNvPr id="6" name="Item 5">
              <a:extLst>
                <a:ext uri="{FF2B5EF4-FFF2-40B4-BE49-F238E27FC236}">
                  <a16:creationId xmlns:a16="http://schemas.microsoft.com/office/drawing/2014/main" id="{96631EA3-89A4-4889-82B5-A750548B85FE}"/>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1919183" y="1542143"/>
              <a:ext cx="9313157" cy="608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90237</xdr:colOff>
      <xdr:row>11</xdr:row>
      <xdr:rowOff>70184</xdr:rowOff>
    </xdr:from>
    <xdr:to>
      <xdr:col>18</xdr:col>
      <xdr:colOff>230605</xdr:colOff>
      <xdr:row>12</xdr:row>
      <xdr:rowOff>160421</xdr:rowOff>
    </xdr:to>
    <xdr:sp macro="" textlink="">
      <xdr:nvSpPr>
        <xdr:cNvPr id="7" name="Rectangle 6">
          <a:extLst>
            <a:ext uri="{FF2B5EF4-FFF2-40B4-BE49-F238E27FC236}">
              <a16:creationId xmlns:a16="http://schemas.microsoft.com/office/drawing/2014/main" id="{AD2F155F-EB74-493D-9A7A-802BC29787A7}"/>
            </a:ext>
          </a:extLst>
        </xdr:cNvPr>
        <xdr:cNvSpPr/>
      </xdr:nvSpPr>
      <xdr:spPr>
        <a:xfrm>
          <a:off x="1919037" y="2165684"/>
          <a:ext cx="9284368" cy="28073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none"/>
            <a:t>                                                                                                                               ANALYTICS   </a:t>
          </a:r>
        </a:p>
        <a:p>
          <a:pPr algn="l"/>
          <a:endParaRPr lang="en-IN" sz="1100" b="1" u="none"/>
        </a:p>
        <a:p>
          <a:pPr algn="l"/>
          <a:r>
            <a:rPr lang="en-IN" sz="1100" b="1" u="none"/>
            <a:t> </a:t>
          </a:r>
        </a:p>
      </xdr:txBody>
    </xdr:sp>
    <xdr:clientData/>
  </xdr:twoCellAnchor>
  <xdr:twoCellAnchor editAs="oneCell">
    <xdr:from>
      <xdr:col>9</xdr:col>
      <xdr:colOff>70185</xdr:colOff>
      <xdr:row>11</xdr:row>
      <xdr:rowOff>40103</xdr:rowOff>
    </xdr:from>
    <xdr:to>
      <xdr:col>9</xdr:col>
      <xdr:colOff>431132</xdr:colOff>
      <xdr:row>12</xdr:row>
      <xdr:rowOff>170447</xdr:rowOff>
    </xdr:to>
    <xdr:pic>
      <xdr:nvPicPr>
        <xdr:cNvPr id="8" name="Graphic 7" descr="Bar chart with solid fill">
          <a:extLst>
            <a:ext uri="{FF2B5EF4-FFF2-40B4-BE49-F238E27FC236}">
              <a16:creationId xmlns:a16="http://schemas.microsoft.com/office/drawing/2014/main" id="{67E91AFF-AD1D-405E-A5F6-5CA3DBCA56B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56585" y="2135603"/>
          <a:ext cx="360947" cy="320844"/>
        </a:xfrm>
        <a:prstGeom prst="rect">
          <a:avLst/>
        </a:prstGeom>
      </xdr:spPr>
    </xdr:pic>
    <xdr:clientData/>
  </xdr:twoCellAnchor>
  <xdr:twoCellAnchor>
    <xdr:from>
      <xdr:col>0</xdr:col>
      <xdr:colOff>328839</xdr:colOff>
      <xdr:row>5</xdr:row>
      <xdr:rowOff>56696</xdr:rowOff>
    </xdr:from>
    <xdr:to>
      <xdr:col>2</xdr:col>
      <xdr:colOff>351518</xdr:colOff>
      <xdr:row>7</xdr:row>
      <xdr:rowOff>124732</xdr:rowOff>
    </xdr:to>
    <xdr:sp macro="" textlink="">
      <xdr:nvSpPr>
        <xdr:cNvPr id="18" name="Flowchart: Terminator 17">
          <a:hlinkClick xmlns:r="http://schemas.openxmlformats.org/officeDocument/2006/relationships" r:id="rId4"/>
          <a:extLst>
            <a:ext uri="{FF2B5EF4-FFF2-40B4-BE49-F238E27FC236}">
              <a16:creationId xmlns:a16="http://schemas.microsoft.com/office/drawing/2014/main" id="{BB5CB786-412E-4961-8D13-FBD2AE5FEFFB}"/>
            </a:ext>
          </a:extLst>
        </xdr:cNvPr>
        <xdr:cNvSpPr/>
      </xdr:nvSpPr>
      <xdr:spPr>
        <a:xfrm>
          <a:off x="328839" y="1009196"/>
          <a:ext cx="1241879" cy="449036"/>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DASHBOARD</a:t>
          </a:r>
        </a:p>
      </xdr:txBody>
    </xdr:sp>
    <xdr:clientData/>
  </xdr:twoCellAnchor>
  <xdr:twoCellAnchor>
    <xdr:from>
      <xdr:col>0</xdr:col>
      <xdr:colOff>317499</xdr:colOff>
      <xdr:row>8</xdr:row>
      <xdr:rowOff>124733</xdr:rowOff>
    </xdr:from>
    <xdr:to>
      <xdr:col>2</xdr:col>
      <xdr:colOff>362856</xdr:colOff>
      <xdr:row>11</xdr:row>
      <xdr:rowOff>34019</xdr:rowOff>
    </xdr:to>
    <xdr:sp macro="" textlink="">
      <xdr:nvSpPr>
        <xdr:cNvPr id="19" name="Flowchart: Terminator 18">
          <a:hlinkClick xmlns:r="http://schemas.openxmlformats.org/officeDocument/2006/relationships" r:id="rId5"/>
          <a:extLst>
            <a:ext uri="{FF2B5EF4-FFF2-40B4-BE49-F238E27FC236}">
              <a16:creationId xmlns:a16="http://schemas.microsoft.com/office/drawing/2014/main" id="{F479B55E-8F1D-4BA3-BCBC-C7C87A90F1A3}"/>
            </a:ext>
          </a:extLst>
        </xdr:cNvPr>
        <xdr:cNvSpPr/>
      </xdr:nvSpPr>
      <xdr:spPr>
        <a:xfrm>
          <a:off x="317499" y="1648733"/>
          <a:ext cx="1264557" cy="480786"/>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PRODUCTS</a:t>
          </a:r>
        </a:p>
        <a:p>
          <a:pPr algn="l"/>
          <a:endParaRPr lang="en-IN" sz="1100">
            <a:solidFill>
              <a:schemeClr val="tx1"/>
            </a:solidFill>
          </a:endParaRPr>
        </a:p>
      </xdr:txBody>
    </xdr:sp>
    <xdr:clientData/>
  </xdr:twoCellAnchor>
  <xdr:twoCellAnchor>
    <xdr:from>
      <xdr:col>0</xdr:col>
      <xdr:colOff>294821</xdr:colOff>
      <xdr:row>12</xdr:row>
      <xdr:rowOff>0</xdr:rowOff>
    </xdr:from>
    <xdr:to>
      <xdr:col>2</xdr:col>
      <xdr:colOff>374196</xdr:colOff>
      <xdr:row>14</xdr:row>
      <xdr:rowOff>124731</xdr:rowOff>
    </xdr:to>
    <xdr:sp macro="" textlink="">
      <xdr:nvSpPr>
        <xdr:cNvPr id="20" name="Flowchart: Terminator 19">
          <a:hlinkClick xmlns:r="http://schemas.openxmlformats.org/officeDocument/2006/relationships" r:id="rId6"/>
          <a:extLst>
            <a:ext uri="{FF2B5EF4-FFF2-40B4-BE49-F238E27FC236}">
              <a16:creationId xmlns:a16="http://schemas.microsoft.com/office/drawing/2014/main" id="{2E58833F-4408-4436-AF18-502625CF21FC}"/>
            </a:ext>
          </a:extLst>
        </xdr:cNvPr>
        <xdr:cNvSpPr/>
      </xdr:nvSpPr>
      <xdr:spPr>
        <a:xfrm>
          <a:off x="294821" y="2286000"/>
          <a:ext cx="1298575" cy="505731"/>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SALESMAN</a:t>
          </a:r>
        </a:p>
      </xdr:txBody>
    </xdr:sp>
    <xdr:clientData/>
  </xdr:twoCellAnchor>
  <xdr:twoCellAnchor>
    <xdr:from>
      <xdr:col>0</xdr:col>
      <xdr:colOff>283483</xdr:colOff>
      <xdr:row>16</xdr:row>
      <xdr:rowOff>34018</xdr:rowOff>
    </xdr:from>
    <xdr:to>
      <xdr:col>2</xdr:col>
      <xdr:colOff>419554</xdr:colOff>
      <xdr:row>18</xdr:row>
      <xdr:rowOff>181430</xdr:rowOff>
    </xdr:to>
    <xdr:sp macro="" textlink="">
      <xdr:nvSpPr>
        <xdr:cNvPr id="21" name="Flowchart: Terminator 20">
          <a:hlinkClick xmlns:r="http://schemas.openxmlformats.org/officeDocument/2006/relationships" r:id="rId7"/>
          <a:extLst>
            <a:ext uri="{FF2B5EF4-FFF2-40B4-BE49-F238E27FC236}">
              <a16:creationId xmlns:a16="http://schemas.microsoft.com/office/drawing/2014/main" id="{F9FBD365-CE82-419C-9685-DBB09ABC8A6E}"/>
            </a:ext>
          </a:extLst>
        </xdr:cNvPr>
        <xdr:cNvSpPr/>
      </xdr:nvSpPr>
      <xdr:spPr>
        <a:xfrm>
          <a:off x="283483" y="3082018"/>
          <a:ext cx="1355271" cy="528412"/>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ABOUT</a:t>
          </a:r>
        </a:p>
        <a:p>
          <a:pPr algn="l"/>
          <a:endParaRPr lang="en-IN" sz="1100"/>
        </a:p>
      </xdr:txBody>
    </xdr:sp>
    <xdr:clientData/>
  </xdr:twoCellAnchor>
  <xdr:twoCellAnchor>
    <xdr:from>
      <xdr:col>3</xdr:col>
      <xdr:colOff>126070</xdr:colOff>
      <xdr:row>13</xdr:row>
      <xdr:rowOff>68392</xdr:rowOff>
    </xdr:from>
    <xdr:to>
      <xdr:col>10</xdr:col>
      <xdr:colOff>578303</xdr:colOff>
      <xdr:row>35</xdr:row>
      <xdr:rowOff>158751</xdr:rowOff>
    </xdr:to>
    <xdr:graphicFrame macro="">
      <xdr:nvGraphicFramePr>
        <xdr:cNvPr id="22" name="Chart 21">
          <a:extLst>
            <a:ext uri="{FF2B5EF4-FFF2-40B4-BE49-F238E27FC236}">
              <a16:creationId xmlns:a16="http://schemas.microsoft.com/office/drawing/2014/main" id="{DA3324FA-56FF-445B-921C-0B87143DA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12677</xdr:colOff>
      <xdr:row>13</xdr:row>
      <xdr:rowOff>68391</xdr:rowOff>
    </xdr:from>
    <xdr:to>
      <xdr:col>18</xdr:col>
      <xdr:colOff>181428</xdr:colOff>
      <xdr:row>22</xdr:row>
      <xdr:rowOff>114655</xdr:rowOff>
    </xdr:to>
    <xdr:graphicFrame macro="">
      <xdr:nvGraphicFramePr>
        <xdr:cNvPr id="23" name="Chart 22">
          <a:extLst>
            <a:ext uri="{FF2B5EF4-FFF2-40B4-BE49-F238E27FC236}">
              <a16:creationId xmlns:a16="http://schemas.microsoft.com/office/drawing/2014/main" id="{0BBD1001-1A7C-44DB-ADC2-435D5695C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24016</xdr:colOff>
      <xdr:row>22</xdr:row>
      <xdr:rowOff>159105</xdr:rowOff>
    </xdr:from>
    <xdr:to>
      <xdr:col>18</xdr:col>
      <xdr:colOff>215446</xdr:colOff>
      <xdr:row>36</xdr:row>
      <xdr:rowOff>22678</xdr:rowOff>
    </xdr:to>
    <xdr:graphicFrame macro="">
      <xdr:nvGraphicFramePr>
        <xdr:cNvPr id="24" name="Chart 23">
          <a:extLst>
            <a:ext uri="{FF2B5EF4-FFF2-40B4-BE49-F238E27FC236}">
              <a16:creationId xmlns:a16="http://schemas.microsoft.com/office/drawing/2014/main" id="{2C4A1805-9305-4C86-B80B-7637B2C26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8237</xdr:colOff>
      <xdr:row>0</xdr:row>
      <xdr:rowOff>0</xdr:rowOff>
    </xdr:from>
    <xdr:to>
      <xdr:col>18</xdr:col>
      <xdr:colOff>498929</xdr:colOff>
      <xdr:row>41</xdr:row>
      <xdr:rowOff>45357</xdr:rowOff>
    </xdr:to>
    <xdr:sp macro="" textlink="">
      <xdr:nvSpPr>
        <xdr:cNvPr id="2" name="Rectangle: Rounded Corners 1">
          <a:extLst>
            <a:ext uri="{FF2B5EF4-FFF2-40B4-BE49-F238E27FC236}">
              <a16:creationId xmlns:a16="http://schemas.microsoft.com/office/drawing/2014/main" id="{CA4D98C7-6555-94C3-257D-2437C631187D}"/>
            </a:ext>
          </a:extLst>
        </xdr:cNvPr>
        <xdr:cNvSpPr/>
      </xdr:nvSpPr>
      <xdr:spPr>
        <a:xfrm>
          <a:off x="8237" y="0"/>
          <a:ext cx="11512478" cy="7948839"/>
        </a:xfrm>
        <a:prstGeom prst="roundRect">
          <a:avLst>
            <a:gd name="adj" fmla="val 92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596424</xdr:colOff>
      <xdr:row>0</xdr:row>
      <xdr:rowOff>125088</xdr:rowOff>
    </xdr:from>
    <xdr:to>
      <xdr:col>18</xdr:col>
      <xdr:colOff>343044</xdr:colOff>
      <xdr:row>37</xdr:row>
      <xdr:rowOff>2766</xdr:rowOff>
    </xdr:to>
    <xdr:sp macro="" textlink="">
      <xdr:nvSpPr>
        <xdr:cNvPr id="3" name="Rectangle: Rounded Corners 2">
          <a:extLst>
            <a:ext uri="{FF2B5EF4-FFF2-40B4-BE49-F238E27FC236}">
              <a16:creationId xmlns:a16="http://schemas.microsoft.com/office/drawing/2014/main" id="{77C53563-AAB5-4D2B-BDDC-5979E4C09070}"/>
            </a:ext>
          </a:extLst>
        </xdr:cNvPr>
        <xdr:cNvSpPr/>
      </xdr:nvSpPr>
      <xdr:spPr>
        <a:xfrm>
          <a:off x="1821067" y="125088"/>
          <a:ext cx="9543763" cy="7010089"/>
        </a:xfrm>
        <a:prstGeom prst="roundRect">
          <a:avLst>
            <a:gd name="adj" fmla="val 92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62164</xdr:colOff>
      <xdr:row>1</xdr:row>
      <xdr:rowOff>70185</xdr:rowOff>
    </xdr:from>
    <xdr:to>
      <xdr:col>10</xdr:col>
      <xdr:colOff>391026</xdr:colOff>
      <xdr:row>7</xdr:row>
      <xdr:rowOff>110290</xdr:rowOff>
    </xdr:to>
    <xdr:pic>
      <xdr:nvPicPr>
        <xdr:cNvPr id="11" name="Picture 10">
          <a:extLst>
            <a:ext uri="{FF2B5EF4-FFF2-40B4-BE49-F238E27FC236}">
              <a16:creationId xmlns:a16="http://schemas.microsoft.com/office/drawing/2014/main" id="{0E7434EB-F43B-2925-82C2-895374E23AF8}"/>
            </a:ext>
          </a:extLst>
        </xdr:cNvPr>
        <xdr:cNvPicPr>
          <a:picLocks noChangeAspect="1"/>
        </xdr:cNvPicPr>
      </xdr:nvPicPr>
      <xdr:blipFill>
        <a:blip xmlns:r="http://schemas.openxmlformats.org/officeDocument/2006/relationships" r:embed="rId1"/>
        <a:stretch>
          <a:fillRect/>
        </a:stretch>
      </xdr:blipFill>
      <xdr:spPr>
        <a:xfrm>
          <a:off x="1896980" y="260685"/>
          <a:ext cx="4610099" cy="1183105"/>
        </a:xfrm>
        <a:prstGeom prst="rect">
          <a:avLst/>
        </a:prstGeom>
      </xdr:spPr>
    </xdr:pic>
    <xdr:clientData/>
  </xdr:twoCellAnchor>
  <xdr:twoCellAnchor editAs="oneCell">
    <xdr:from>
      <xdr:col>10</xdr:col>
      <xdr:colOff>515972</xdr:colOff>
      <xdr:row>1</xdr:row>
      <xdr:rowOff>113393</xdr:rowOff>
    </xdr:from>
    <xdr:to>
      <xdr:col>18</xdr:col>
      <xdr:colOff>136070</xdr:colOff>
      <xdr:row>7</xdr:row>
      <xdr:rowOff>102054</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23804412-E9D8-40C1-ACAD-065029D1DD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639186" y="306161"/>
              <a:ext cx="4518670" cy="1145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82219</xdr:colOff>
      <xdr:row>8</xdr:row>
      <xdr:rowOff>0</xdr:rowOff>
    </xdr:from>
    <xdr:to>
      <xdr:col>18</xdr:col>
      <xdr:colOff>210554</xdr:colOff>
      <xdr:row>11</xdr:row>
      <xdr:rowOff>30079</xdr:rowOff>
    </xdr:to>
    <mc:AlternateContent xmlns:mc="http://schemas.openxmlformats.org/markup-compatibility/2006" xmlns:a14="http://schemas.microsoft.com/office/drawing/2010/main">
      <mc:Choice Requires="a14">
        <xdr:graphicFrame macro="">
          <xdr:nvGraphicFramePr>
            <xdr:cNvPr id="19" name="Item 4">
              <a:extLst>
                <a:ext uri="{FF2B5EF4-FFF2-40B4-BE49-F238E27FC236}">
                  <a16:creationId xmlns:a16="http://schemas.microsoft.com/office/drawing/2014/main" id="{063FC0FF-74BB-4055-A028-389888E121DF}"/>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919183" y="1542143"/>
              <a:ext cx="9313157" cy="608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90237</xdr:colOff>
      <xdr:row>11</xdr:row>
      <xdr:rowOff>70184</xdr:rowOff>
    </xdr:from>
    <xdr:to>
      <xdr:col>18</xdr:col>
      <xdr:colOff>230605</xdr:colOff>
      <xdr:row>12</xdr:row>
      <xdr:rowOff>160421</xdr:rowOff>
    </xdr:to>
    <xdr:sp macro="" textlink="">
      <xdr:nvSpPr>
        <xdr:cNvPr id="20" name="Rectangle 19">
          <a:extLst>
            <a:ext uri="{FF2B5EF4-FFF2-40B4-BE49-F238E27FC236}">
              <a16:creationId xmlns:a16="http://schemas.microsoft.com/office/drawing/2014/main" id="{AF2E5629-F26D-0D34-A941-59BD42A73725}"/>
            </a:ext>
          </a:extLst>
        </xdr:cNvPr>
        <xdr:cNvSpPr/>
      </xdr:nvSpPr>
      <xdr:spPr>
        <a:xfrm>
          <a:off x="1925053" y="2165684"/>
          <a:ext cx="9314447" cy="28073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none"/>
            <a:t>                                                                                                                               ANALYTICS   </a:t>
          </a:r>
        </a:p>
        <a:p>
          <a:pPr algn="l"/>
          <a:endParaRPr lang="en-IN" sz="1100" b="1" u="none"/>
        </a:p>
        <a:p>
          <a:pPr algn="l"/>
          <a:r>
            <a:rPr lang="en-IN" sz="1100" b="1" u="none"/>
            <a:t> </a:t>
          </a:r>
        </a:p>
      </xdr:txBody>
    </xdr:sp>
    <xdr:clientData/>
  </xdr:twoCellAnchor>
  <xdr:twoCellAnchor editAs="oneCell">
    <xdr:from>
      <xdr:col>9</xdr:col>
      <xdr:colOff>70185</xdr:colOff>
      <xdr:row>11</xdr:row>
      <xdr:rowOff>40103</xdr:rowOff>
    </xdr:from>
    <xdr:to>
      <xdr:col>9</xdr:col>
      <xdr:colOff>431132</xdr:colOff>
      <xdr:row>12</xdr:row>
      <xdr:rowOff>170447</xdr:rowOff>
    </xdr:to>
    <xdr:pic>
      <xdr:nvPicPr>
        <xdr:cNvPr id="22" name="Graphic 21" descr="Bar chart with solid fill">
          <a:extLst>
            <a:ext uri="{FF2B5EF4-FFF2-40B4-BE49-F238E27FC236}">
              <a16:creationId xmlns:a16="http://schemas.microsoft.com/office/drawing/2014/main" id="{615E20F4-D8F4-C9FE-9BE4-94DE08648C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74632" y="2135603"/>
          <a:ext cx="360947" cy="320844"/>
        </a:xfrm>
        <a:prstGeom prst="rect">
          <a:avLst/>
        </a:prstGeom>
      </xdr:spPr>
    </xdr:pic>
    <xdr:clientData/>
  </xdr:twoCellAnchor>
  <xdr:twoCellAnchor>
    <xdr:from>
      <xdr:col>3</xdr:col>
      <xdr:colOff>190499</xdr:colOff>
      <xdr:row>13</xdr:row>
      <xdr:rowOff>110290</xdr:rowOff>
    </xdr:from>
    <xdr:to>
      <xdr:col>6</xdr:col>
      <xdr:colOff>312820</xdr:colOff>
      <xdr:row>17</xdr:row>
      <xdr:rowOff>62162</xdr:rowOff>
    </xdr:to>
    <xdr:grpSp>
      <xdr:nvGrpSpPr>
        <xdr:cNvPr id="27" name="Group 26">
          <a:extLst>
            <a:ext uri="{FF2B5EF4-FFF2-40B4-BE49-F238E27FC236}">
              <a16:creationId xmlns:a16="http://schemas.microsoft.com/office/drawing/2014/main" id="{99A2EA3C-26BD-ECCD-B11E-F9648C588389}"/>
            </a:ext>
          </a:extLst>
        </xdr:cNvPr>
        <xdr:cNvGrpSpPr/>
      </xdr:nvGrpSpPr>
      <xdr:grpSpPr>
        <a:xfrm>
          <a:off x="2027463" y="2616272"/>
          <a:ext cx="1959286" cy="722944"/>
          <a:chOff x="2025315" y="2586790"/>
          <a:chExt cx="1957137" cy="713872"/>
        </a:xfrm>
      </xdr:grpSpPr>
      <xdr:sp macro="" textlink="">
        <xdr:nvSpPr>
          <xdr:cNvPr id="23" name="Rectangle 22">
            <a:extLst>
              <a:ext uri="{FF2B5EF4-FFF2-40B4-BE49-F238E27FC236}">
                <a16:creationId xmlns:a16="http://schemas.microsoft.com/office/drawing/2014/main" id="{22F5BD83-6132-4C16-ABFA-E30064D121C9}"/>
              </a:ext>
            </a:extLst>
          </xdr:cNvPr>
          <xdr:cNvSpPr/>
        </xdr:nvSpPr>
        <xdr:spPr>
          <a:xfrm>
            <a:off x="2025315" y="2586790"/>
            <a:ext cx="1804737" cy="71186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24" name="Rectangle 23">
            <a:extLst>
              <a:ext uri="{FF2B5EF4-FFF2-40B4-BE49-F238E27FC236}">
                <a16:creationId xmlns:a16="http://schemas.microsoft.com/office/drawing/2014/main" id="{A15FB3FB-991B-45D7-B8C3-A9228AD5CDDC}"/>
              </a:ext>
            </a:extLst>
          </xdr:cNvPr>
          <xdr:cNvSpPr/>
        </xdr:nvSpPr>
        <xdr:spPr>
          <a:xfrm>
            <a:off x="2177715" y="2588794"/>
            <a:ext cx="1804737" cy="711868"/>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TOTAL AMOUNT</a:t>
            </a:r>
          </a:p>
          <a:p>
            <a:pPr algn="l"/>
            <a:r>
              <a:rPr lang="en-IN" sz="1100" baseline="0">
                <a:solidFill>
                  <a:schemeClr val="tx1"/>
                </a:solidFill>
              </a:rPr>
              <a:t>                    </a:t>
            </a:r>
            <a:r>
              <a:rPr lang="en-IN" sz="1100">
                <a:solidFill>
                  <a:schemeClr val="tx1"/>
                </a:solidFill>
              </a:rPr>
              <a:t> </a:t>
            </a:r>
          </a:p>
        </xdr:txBody>
      </xdr:sp>
    </xdr:grpSp>
    <xdr:clientData/>
  </xdr:twoCellAnchor>
  <xdr:twoCellAnchor>
    <xdr:from>
      <xdr:col>7</xdr:col>
      <xdr:colOff>5231</xdr:colOff>
      <xdr:row>13</xdr:row>
      <xdr:rowOff>87609</xdr:rowOff>
    </xdr:from>
    <xdr:to>
      <xdr:col>10</xdr:col>
      <xdr:colOff>128268</xdr:colOff>
      <xdr:row>17</xdr:row>
      <xdr:rowOff>39481</xdr:rowOff>
    </xdr:to>
    <xdr:grpSp>
      <xdr:nvGrpSpPr>
        <xdr:cNvPr id="29" name="Group 28">
          <a:extLst>
            <a:ext uri="{FF2B5EF4-FFF2-40B4-BE49-F238E27FC236}">
              <a16:creationId xmlns:a16="http://schemas.microsoft.com/office/drawing/2014/main" id="{3158A32C-0026-4629-995C-AF06FE1C1847}"/>
            </a:ext>
          </a:extLst>
        </xdr:cNvPr>
        <xdr:cNvGrpSpPr/>
      </xdr:nvGrpSpPr>
      <xdr:grpSpPr>
        <a:xfrm>
          <a:off x="4291481" y="2593591"/>
          <a:ext cx="1960001" cy="722944"/>
          <a:chOff x="2025315" y="2586790"/>
          <a:chExt cx="1957137" cy="713872"/>
        </a:xfrm>
      </xdr:grpSpPr>
      <xdr:sp macro="" textlink="">
        <xdr:nvSpPr>
          <xdr:cNvPr id="30" name="Rectangle 29">
            <a:extLst>
              <a:ext uri="{FF2B5EF4-FFF2-40B4-BE49-F238E27FC236}">
                <a16:creationId xmlns:a16="http://schemas.microsoft.com/office/drawing/2014/main" id="{E994EB85-4888-28D8-F7A0-A64A00DC5B2E}"/>
              </a:ext>
            </a:extLst>
          </xdr:cNvPr>
          <xdr:cNvSpPr/>
        </xdr:nvSpPr>
        <xdr:spPr>
          <a:xfrm>
            <a:off x="2025315" y="2586790"/>
            <a:ext cx="1804737" cy="71186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31" name="Rectangle 30">
            <a:extLst>
              <a:ext uri="{FF2B5EF4-FFF2-40B4-BE49-F238E27FC236}">
                <a16:creationId xmlns:a16="http://schemas.microsoft.com/office/drawing/2014/main" id="{07AAF4D3-D5E5-BBEF-F22D-2AC6C0731741}"/>
              </a:ext>
            </a:extLst>
          </xdr:cNvPr>
          <xdr:cNvSpPr/>
        </xdr:nvSpPr>
        <xdr:spPr>
          <a:xfrm>
            <a:off x="2177715" y="2588794"/>
            <a:ext cx="1804737" cy="711868"/>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TOTAL SALES</a:t>
            </a:r>
          </a:p>
          <a:p>
            <a:pPr algn="l"/>
            <a:endParaRPr lang="en-IN" sz="1100">
              <a:solidFill>
                <a:schemeClr val="tx1"/>
              </a:solidFill>
            </a:endParaRPr>
          </a:p>
          <a:p>
            <a:pPr algn="l"/>
            <a:r>
              <a:rPr lang="en-IN" sz="1100" baseline="0">
                <a:solidFill>
                  <a:schemeClr val="tx1"/>
                </a:solidFill>
              </a:rPr>
              <a:t>                    </a:t>
            </a:r>
            <a:r>
              <a:rPr lang="en-IN" sz="1100">
                <a:solidFill>
                  <a:schemeClr val="tx1"/>
                </a:solidFill>
              </a:rPr>
              <a:t> </a:t>
            </a:r>
          </a:p>
        </xdr:txBody>
      </xdr:sp>
    </xdr:grpSp>
    <xdr:clientData/>
  </xdr:twoCellAnchor>
  <xdr:twoCellAnchor>
    <xdr:from>
      <xdr:col>10</xdr:col>
      <xdr:colOff>170089</xdr:colOff>
      <xdr:row>13</xdr:row>
      <xdr:rowOff>79376</xdr:rowOff>
    </xdr:from>
    <xdr:to>
      <xdr:col>18</xdr:col>
      <xdr:colOff>272142</xdr:colOff>
      <xdr:row>21</xdr:row>
      <xdr:rowOff>1</xdr:rowOff>
    </xdr:to>
    <xdr:graphicFrame macro="">
      <xdr:nvGraphicFramePr>
        <xdr:cNvPr id="34" name="Chart 33">
          <a:extLst>
            <a:ext uri="{FF2B5EF4-FFF2-40B4-BE49-F238E27FC236}">
              <a16:creationId xmlns:a16="http://schemas.microsoft.com/office/drawing/2014/main" id="{29630115-CD8B-4B81-9A41-1E5989D79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210888</xdr:colOff>
      <xdr:row>21</xdr:row>
      <xdr:rowOff>136426</xdr:rowOff>
    </xdr:from>
    <xdr:to>
      <xdr:col>18</xdr:col>
      <xdr:colOff>192768</xdr:colOff>
      <xdr:row>35</xdr:row>
      <xdr:rowOff>158749</xdr:rowOff>
    </xdr:to>
    <xdr:graphicFrame macro="">
      <xdr:nvGraphicFramePr>
        <xdr:cNvPr id="4" name="Chart 3">
          <a:extLst>
            <a:ext uri="{FF2B5EF4-FFF2-40B4-BE49-F238E27FC236}">
              <a16:creationId xmlns:a16="http://schemas.microsoft.com/office/drawing/2014/main" id="{BEE2D5E8-125E-4A49-810C-F02ED6C7F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328839</xdr:colOff>
      <xdr:row>5</xdr:row>
      <xdr:rowOff>56696</xdr:rowOff>
    </xdr:from>
    <xdr:to>
      <xdr:col>2</xdr:col>
      <xdr:colOff>351518</xdr:colOff>
      <xdr:row>7</xdr:row>
      <xdr:rowOff>124732</xdr:rowOff>
    </xdr:to>
    <xdr:sp macro="" textlink="">
      <xdr:nvSpPr>
        <xdr:cNvPr id="5" name="Flowchart: Terminator 4">
          <a:hlinkClick xmlns:r="http://schemas.openxmlformats.org/officeDocument/2006/relationships" r:id="rId6"/>
          <a:extLst>
            <a:ext uri="{FF2B5EF4-FFF2-40B4-BE49-F238E27FC236}">
              <a16:creationId xmlns:a16="http://schemas.microsoft.com/office/drawing/2014/main" id="{A6FEC94C-FA35-E3B2-2844-C894F7736183}"/>
            </a:ext>
          </a:extLst>
        </xdr:cNvPr>
        <xdr:cNvSpPr/>
      </xdr:nvSpPr>
      <xdr:spPr>
        <a:xfrm>
          <a:off x="328839" y="1020535"/>
          <a:ext cx="1247322" cy="453572"/>
        </a:xfrm>
        <a:prstGeom prst="flowChartTermina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DASHBOARD</a:t>
          </a:r>
        </a:p>
      </xdr:txBody>
    </xdr:sp>
    <xdr:clientData/>
  </xdr:twoCellAnchor>
  <xdr:twoCellAnchor>
    <xdr:from>
      <xdr:col>0</xdr:col>
      <xdr:colOff>317499</xdr:colOff>
      <xdr:row>8</xdr:row>
      <xdr:rowOff>124733</xdr:rowOff>
    </xdr:from>
    <xdr:to>
      <xdr:col>2</xdr:col>
      <xdr:colOff>362856</xdr:colOff>
      <xdr:row>11</xdr:row>
      <xdr:rowOff>34019</xdr:rowOff>
    </xdr:to>
    <xdr:sp macro="" textlink="">
      <xdr:nvSpPr>
        <xdr:cNvPr id="6" name="Flowchart: Terminator 5">
          <a:hlinkClick xmlns:r="http://schemas.openxmlformats.org/officeDocument/2006/relationships" r:id="rId7"/>
          <a:extLst>
            <a:ext uri="{FF2B5EF4-FFF2-40B4-BE49-F238E27FC236}">
              <a16:creationId xmlns:a16="http://schemas.microsoft.com/office/drawing/2014/main" id="{F3BEC8BC-4DF1-5B99-BF1B-A6C708905F87}"/>
            </a:ext>
          </a:extLst>
        </xdr:cNvPr>
        <xdr:cNvSpPr/>
      </xdr:nvSpPr>
      <xdr:spPr>
        <a:xfrm>
          <a:off x="317499" y="1666876"/>
          <a:ext cx="1270000" cy="487589"/>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PRODUCTS</a:t>
          </a:r>
        </a:p>
        <a:p>
          <a:pPr algn="l"/>
          <a:endParaRPr lang="en-IN" sz="1100">
            <a:solidFill>
              <a:schemeClr val="bg1"/>
            </a:solidFill>
          </a:endParaRPr>
        </a:p>
      </xdr:txBody>
    </xdr:sp>
    <xdr:clientData/>
  </xdr:twoCellAnchor>
  <xdr:twoCellAnchor>
    <xdr:from>
      <xdr:col>0</xdr:col>
      <xdr:colOff>294821</xdr:colOff>
      <xdr:row>12</xdr:row>
      <xdr:rowOff>0</xdr:rowOff>
    </xdr:from>
    <xdr:to>
      <xdr:col>2</xdr:col>
      <xdr:colOff>374196</xdr:colOff>
      <xdr:row>14</xdr:row>
      <xdr:rowOff>124731</xdr:rowOff>
    </xdr:to>
    <xdr:sp macro="" textlink="">
      <xdr:nvSpPr>
        <xdr:cNvPr id="7" name="Flowchart: Terminator 6">
          <a:hlinkClick xmlns:r="http://schemas.openxmlformats.org/officeDocument/2006/relationships" r:id="rId8"/>
          <a:extLst>
            <a:ext uri="{FF2B5EF4-FFF2-40B4-BE49-F238E27FC236}">
              <a16:creationId xmlns:a16="http://schemas.microsoft.com/office/drawing/2014/main" id="{8328AC75-E51B-BB79-E2EB-3C1776F53C1C}"/>
            </a:ext>
          </a:extLst>
        </xdr:cNvPr>
        <xdr:cNvSpPr/>
      </xdr:nvSpPr>
      <xdr:spPr>
        <a:xfrm>
          <a:off x="294821" y="2313214"/>
          <a:ext cx="1304018" cy="510267"/>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SALESMAN</a:t>
          </a:r>
        </a:p>
      </xdr:txBody>
    </xdr:sp>
    <xdr:clientData/>
  </xdr:twoCellAnchor>
  <xdr:twoCellAnchor>
    <xdr:from>
      <xdr:col>0</xdr:col>
      <xdr:colOff>283483</xdr:colOff>
      <xdr:row>16</xdr:row>
      <xdr:rowOff>34018</xdr:rowOff>
    </xdr:from>
    <xdr:to>
      <xdr:col>2</xdr:col>
      <xdr:colOff>419554</xdr:colOff>
      <xdr:row>18</xdr:row>
      <xdr:rowOff>181430</xdr:rowOff>
    </xdr:to>
    <xdr:sp macro="" textlink="">
      <xdr:nvSpPr>
        <xdr:cNvPr id="8" name="Flowchart: Terminator 7">
          <a:hlinkClick xmlns:r="http://schemas.openxmlformats.org/officeDocument/2006/relationships" r:id="rId9"/>
          <a:extLst>
            <a:ext uri="{FF2B5EF4-FFF2-40B4-BE49-F238E27FC236}">
              <a16:creationId xmlns:a16="http://schemas.microsoft.com/office/drawing/2014/main" id="{C5CD465D-DD65-8F56-0C28-D7C97B02AC34}"/>
            </a:ext>
          </a:extLst>
        </xdr:cNvPr>
        <xdr:cNvSpPr/>
      </xdr:nvSpPr>
      <xdr:spPr>
        <a:xfrm>
          <a:off x="283483" y="3118304"/>
          <a:ext cx="1360714" cy="532947"/>
        </a:xfrm>
        <a:prstGeom prst="flowChartTerminator">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ABOUT</a:t>
          </a:r>
        </a:p>
        <a:p>
          <a:pPr algn="l"/>
          <a:endParaRPr lang="en-IN" sz="1100">
            <a:solidFill>
              <a:schemeClr val="bg1"/>
            </a:solidFill>
          </a:endParaRPr>
        </a:p>
      </xdr:txBody>
    </xdr:sp>
    <xdr:clientData/>
  </xdr:twoCellAnchor>
  <xdr:oneCellAnchor>
    <xdr:from>
      <xdr:col>6</xdr:col>
      <xdr:colOff>124732</xdr:colOff>
      <xdr:row>15</xdr:row>
      <xdr:rowOff>147411</xdr:rowOff>
    </xdr:from>
    <xdr:ext cx="184731" cy="264560"/>
    <xdr:sp macro="" textlink="">
      <xdr:nvSpPr>
        <xdr:cNvPr id="10" name="TextBox 9">
          <a:extLst>
            <a:ext uri="{FF2B5EF4-FFF2-40B4-BE49-F238E27FC236}">
              <a16:creationId xmlns:a16="http://schemas.microsoft.com/office/drawing/2014/main" id="{54CEB3F1-1777-CF89-A281-9AAD01B33618}"/>
            </a:ext>
          </a:extLst>
        </xdr:cNvPr>
        <xdr:cNvSpPr txBox="1"/>
      </xdr:nvSpPr>
      <xdr:spPr>
        <a:xfrm>
          <a:off x="3798661" y="3038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464911</xdr:colOff>
      <xdr:row>20</xdr:row>
      <xdr:rowOff>0</xdr:rowOff>
    </xdr:from>
    <xdr:ext cx="184731" cy="264560"/>
    <xdr:sp macro="" textlink="">
      <xdr:nvSpPr>
        <xdr:cNvPr id="13" name="TextBox 12">
          <a:extLst>
            <a:ext uri="{FF2B5EF4-FFF2-40B4-BE49-F238E27FC236}">
              <a16:creationId xmlns:a16="http://schemas.microsoft.com/office/drawing/2014/main" id="{E417045A-3045-27B1-A0FF-F33737EEC49B}"/>
            </a:ext>
          </a:extLst>
        </xdr:cNvPr>
        <xdr:cNvSpPr txBox="1"/>
      </xdr:nvSpPr>
      <xdr:spPr>
        <a:xfrm>
          <a:off x="4751161" y="38553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158750</xdr:colOff>
      <xdr:row>14</xdr:row>
      <xdr:rowOff>136071</xdr:rowOff>
    </xdr:from>
    <xdr:to>
      <xdr:col>10</xdr:col>
      <xdr:colOff>34018</xdr:colOff>
      <xdr:row>16</xdr:row>
      <xdr:rowOff>56696</xdr:rowOff>
    </xdr:to>
    <xdr:sp macro="" textlink="'PIVOT TABLE'!T20">
      <xdr:nvSpPr>
        <xdr:cNvPr id="14" name="TextBox 13">
          <a:extLst>
            <a:ext uri="{FF2B5EF4-FFF2-40B4-BE49-F238E27FC236}">
              <a16:creationId xmlns:a16="http://schemas.microsoft.com/office/drawing/2014/main" id="{23E07DDA-6758-2054-A53D-2E8EA333A258}"/>
            </a:ext>
          </a:extLst>
        </xdr:cNvPr>
        <xdr:cNvSpPr txBox="1"/>
      </xdr:nvSpPr>
      <xdr:spPr>
        <a:xfrm>
          <a:off x="5057321" y="2834821"/>
          <a:ext cx="1099911"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FCD4E0-8A96-4E7B-AEEA-0A973CB6F1F7}" type="TxLink">
            <a:rPr lang="en-US" sz="1400" b="0" i="0" u="none" strike="noStrike">
              <a:solidFill>
                <a:schemeClr val="tx1"/>
              </a:solidFill>
              <a:latin typeface="Calibri"/>
              <a:cs typeface="Calibri"/>
            </a:rPr>
            <a:pPr/>
            <a:t>366</a:t>
          </a:fld>
          <a:endParaRPr lang="en-IN" sz="1400">
            <a:solidFill>
              <a:schemeClr val="tx1"/>
            </a:solidFill>
          </a:endParaRPr>
        </a:p>
      </xdr:txBody>
    </xdr:sp>
    <xdr:clientData/>
  </xdr:twoCellAnchor>
  <xdr:oneCellAnchor>
    <xdr:from>
      <xdr:col>7</xdr:col>
      <xdr:colOff>464911</xdr:colOff>
      <xdr:row>19</xdr:row>
      <xdr:rowOff>90715</xdr:rowOff>
    </xdr:from>
    <xdr:ext cx="184731" cy="264560"/>
    <xdr:sp macro="" textlink="">
      <xdr:nvSpPr>
        <xdr:cNvPr id="17" name="TextBox 16">
          <a:extLst>
            <a:ext uri="{FF2B5EF4-FFF2-40B4-BE49-F238E27FC236}">
              <a16:creationId xmlns:a16="http://schemas.microsoft.com/office/drawing/2014/main" id="{9D82A812-DBEE-E117-9686-7A4574CDDF27}"/>
            </a:ext>
          </a:extLst>
        </xdr:cNvPr>
        <xdr:cNvSpPr txBox="1"/>
      </xdr:nvSpPr>
      <xdr:spPr>
        <a:xfrm>
          <a:off x="4751161" y="37533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215446</xdr:colOff>
      <xdr:row>14</xdr:row>
      <xdr:rowOff>170088</xdr:rowOff>
    </xdr:from>
    <xdr:to>
      <xdr:col>6</xdr:col>
      <xdr:colOff>68035</xdr:colOff>
      <xdr:row>16</xdr:row>
      <xdr:rowOff>147410</xdr:rowOff>
    </xdr:to>
    <xdr:sp macro="" textlink="'PIVOT TABLE'!T17">
      <xdr:nvSpPr>
        <xdr:cNvPr id="18" name="TextBox 17">
          <a:extLst>
            <a:ext uri="{FF2B5EF4-FFF2-40B4-BE49-F238E27FC236}">
              <a16:creationId xmlns:a16="http://schemas.microsoft.com/office/drawing/2014/main" id="{FF6A4F73-43A3-C7DC-5A18-AEE8B934BEFF}"/>
            </a:ext>
          </a:extLst>
        </xdr:cNvPr>
        <xdr:cNvSpPr txBox="1"/>
      </xdr:nvSpPr>
      <xdr:spPr>
        <a:xfrm>
          <a:off x="2664732" y="2868838"/>
          <a:ext cx="1077232" cy="362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3D1F3F-2721-44D7-8D30-955940D3F6CE}" type="TxLink">
            <a:rPr lang="en-US" sz="1400" b="0" i="0" u="none" strike="noStrike">
              <a:solidFill>
                <a:schemeClr val="tx1"/>
              </a:solidFill>
              <a:latin typeface="Calibri"/>
              <a:cs typeface="Calibri"/>
            </a:rPr>
            <a:pPr/>
            <a:t>₹ 17,82,570</a:t>
          </a:fld>
          <a:endParaRPr lang="en-IN" sz="1400" b="1">
            <a:solidFill>
              <a:schemeClr val="tx1"/>
            </a:solidFill>
          </a:endParaRPr>
        </a:p>
      </xdr:txBody>
    </xdr:sp>
    <xdr:clientData/>
  </xdr:twoCellAnchor>
  <xdr:twoCellAnchor editAs="oneCell">
    <xdr:from>
      <xdr:col>7</xdr:col>
      <xdr:colOff>204108</xdr:colOff>
      <xdr:row>14</xdr:row>
      <xdr:rowOff>18597</xdr:rowOff>
    </xdr:from>
    <xdr:to>
      <xdr:col>8</xdr:col>
      <xdr:colOff>124733</xdr:colOff>
      <xdr:row>16</xdr:row>
      <xdr:rowOff>124732</xdr:rowOff>
    </xdr:to>
    <xdr:pic>
      <xdr:nvPicPr>
        <xdr:cNvPr id="25" name="Graphic 24" descr="Business Growth with solid fill">
          <a:extLst>
            <a:ext uri="{FF2B5EF4-FFF2-40B4-BE49-F238E27FC236}">
              <a16:creationId xmlns:a16="http://schemas.microsoft.com/office/drawing/2014/main" id="{ED4027E4-93D8-02A0-B581-FBF3E125137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90358" y="2717347"/>
          <a:ext cx="532946" cy="491671"/>
        </a:xfrm>
        <a:prstGeom prst="rect">
          <a:avLst/>
        </a:prstGeom>
      </xdr:spPr>
    </xdr:pic>
    <xdr:clientData/>
  </xdr:twoCellAnchor>
  <xdr:twoCellAnchor>
    <xdr:from>
      <xdr:col>3</xdr:col>
      <xdr:colOff>249464</xdr:colOff>
      <xdr:row>17</xdr:row>
      <xdr:rowOff>113392</xdr:rowOff>
    </xdr:from>
    <xdr:to>
      <xdr:col>10</xdr:col>
      <xdr:colOff>22679</xdr:colOff>
      <xdr:row>35</xdr:row>
      <xdr:rowOff>147411</xdr:rowOff>
    </xdr:to>
    <xdr:graphicFrame macro="">
      <xdr:nvGraphicFramePr>
        <xdr:cNvPr id="26" name="Chart 25">
          <a:extLst>
            <a:ext uri="{FF2B5EF4-FFF2-40B4-BE49-F238E27FC236}">
              <a16:creationId xmlns:a16="http://schemas.microsoft.com/office/drawing/2014/main" id="{98EA135F-C5B0-4497-A1B2-E867640B6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419100</xdr:colOff>
      <xdr:row>13</xdr:row>
      <xdr:rowOff>180975</xdr:rowOff>
    </xdr:from>
    <xdr:to>
      <xdr:col>12</xdr:col>
      <xdr:colOff>304800</xdr:colOff>
      <xdr:row>24</xdr:row>
      <xdr:rowOff>142874</xdr:rowOff>
    </xdr:to>
    <xdr:graphicFrame macro="">
      <xdr:nvGraphicFramePr>
        <xdr:cNvPr id="3" name="Chart 2">
          <a:extLst>
            <a:ext uri="{FF2B5EF4-FFF2-40B4-BE49-F238E27FC236}">
              <a16:creationId xmlns:a16="http://schemas.microsoft.com/office/drawing/2014/main" id="{BAFB995F-B788-C7F3-915A-C01024871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219075</xdr:colOff>
      <xdr:row>0</xdr:row>
      <xdr:rowOff>152400</xdr:rowOff>
    </xdr:from>
    <xdr:to>
      <xdr:col>10</xdr:col>
      <xdr:colOff>352425</xdr:colOff>
      <xdr:row>11</xdr:row>
      <xdr:rowOff>114300</xdr:rowOff>
    </xdr:to>
    <xdr:graphicFrame macro="">
      <xdr:nvGraphicFramePr>
        <xdr:cNvPr id="5" name="Chart 4">
          <a:extLst>
            <a:ext uri="{FF2B5EF4-FFF2-40B4-BE49-F238E27FC236}">
              <a16:creationId xmlns:a16="http://schemas.microsoft.com/office/drawing/2014/main" id="{CE84DE7A-6785-B51C-E2CC-8ADC00864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619125</xdr:colOff>
      <xdr:row>1</xdr:row>
      <xdr:rowOff>9524</xdr:rowOff>
    </xdr:from>
    <xdr:to>
      <xdr:col>24</xdr:col>
      <xdr:colOff>9525</xdr:colOff>
      <xdr:row>13</xdr:row>
      <xdr:rowOff>114299</xdr:rowOff>
    </xdr:to>
    <xdr:graphicFrame macro="">
      <xdr:nvGraphicFramePr>
        <xdr:cNvPr id="8" name="Chart 7">
          <a:extLst>
            <a:ext uri="{FF2B5EF4-FFF2-40B4-BE49-F238E27FC236}">
              <a16:creationId xmlns:a16="http://schemas.microsoft.com/office/drawing/2014/main" id="{3F7ABEF0-F422-8845-46D0-3A0DDD33D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142875</xdr:colOff>
      <xdr:row>1</xdr:row>
      <xdr:rowOff>28574</xdr:rowOff>
    </xdr:from>
    <xdr:to>
      <xdr:col>30</xdr:col>
      <xdr:colOff>66675</xdr:colOff>
      <xdr:row>10</xdr:row>
      <xdr:rowOff>95249</xdr:rowOff>
    </xdr:to>
    <xdr:graphicFrame macro="">
      <xdr:nvGraphicFramePr>
        <xdr:cNvPr id="9" name="Chart 8">
          <a:extLst>
            <a:ext uri="{FF2B5EF4-FFF2-40B4-BE49-F238E27FC236}">
              <a16:creationId xmlns:a16="http://schemas.microsoft.com/office/drawing/2014/main" id="{800D6F2C-AECF-1B37-3881-30EAE08BF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304800</xdr:colOff>
      <xdr:row>0</xdr:row>
      <xdr:rowOff>114300</xdr:rowOff>
    </xdr:from>
    <xdr:to>
      <xdr:col>34</xdr:col>
      <xdr:colOff>161925</xdr:colOff>
      <xdr:row>10</xdr:row>
      <xdr:rowOff>104775</xdr:rowOff>
    </xdr:to>
    <xdr:graphicFrame macro="">
      <xdr:nvGraphicFramePr>
        <xdr:cNvPr id="10" name="Chart 9">
          <a:extLst>
            <a:ext uri="{FF2B5EF4-FFF2-40B4-BE49-F238E27FC236}">
              <a16:creationId xmlns:a16="http://schemas.microsoft.com/office/drawing/2014/main" id="{3FB0F832-2F25-44CF-318A-90759D54D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257175</xdr:colOff>
      <xdr:row>8</xdr:row>
      <xdr:rowOff>76200</xdr:rowOff>
    </xdr:from>
    <xdr:to>
      <xdr:col>43</xdr:col>
      <xdr:colOff>657225</xdr:colOff>
      <xdr:row>21</xdr:row>
      <xdr:rowOff>171450</xdr:rowOff>
    </xdr:to>
    <xdr:graphicFrame macro="">
      <xdr:nvGraphicFramePr>
        <xdr:cNvPr id="2" name="Chart 1">
          <a:extLst>
            <a:ext uri="{FF2B5EF4-FFF2-40B4-BE49-F238E27FC236}">
              <a16:creationId xmlns:a16="http://schemas.microsoft.com/office/drawing/2014/main" id="{70C1AEB7-096C-8E6B-F298-19BB6094D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57149</xdr:colOff>
      <xdr:row>14</xdr:row>
      <xdr:rowOff>104774</xdr:rowOff>
    </xdr:from>
    <xdr:to>
      <xdr:col>49</xdr:col>
      <xdr:colOff>271461</xdr:colOff>
      <xdr:row>26</xdr:row>
      <xdr:rowOff>133349</xdr:rowOff>
    </xdr:to>
    <xdr:graphicFrame macro="">
      <xdr:nvGraphicFramePr>
        <xdr:cNvPr id="4" name="Chart 3">
          <a:extLst>
            <a:ext uri="{FF2B5EF4-FFF2-40B4-BE49-F238E27FC236}">
              <a16:creationId xmlns:a16="http://schemas.microsoft.com/office/drawing/2014/main" id="{5B19475F-9785-3196-4BE7-9A398156A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49</xdr:col>
      <xdr:colOff>419099</xdr:colOff>
      <xdr:row>14</xdr:row>
      <xdr:rowOff>161925</xdr:rowOff>
    </xdr:from>
    <xdr:to>
      <xdr:col>55</xdr:col>
      <xdr:colOff>52386</xdr:colOff>
      <xdr:row>26</xdr:row>
      <xdr:rowOff>28575</xdr:rowOff>
    </xdr:to>
    <xdr:graphicFrame macro="">
      <xdr:nvGraphicFramePr>
        <xdr:cNvPr id="6" name="Chart 5">
          <a:extLst>
            <a:ext uri="{FF2B5EF4-FFF2-40B4-BE49-F238E27FC236}">
              <a16:creationId xmlns:a16="http://schemas.microsoft.com/office/drawing/2014/main" id="{AFE642F2-AB96-A81D-572B-4806CC1A5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390524</xdr:colOff>
      <xdr:row>3</xdr:row>
      <xdr:rowOff>9524</xdr:rowOff>
    </xdr:from>
    <xdr:to>
      <xdr:col>16</xdr:col>
      <xdr:colOff>157161</xdr:colOff>
      <xdr:row>16</xdr:row>
      <xdr:rowOff>19049</xdr:rowOff>
    </xdr:to>
    <xdr:graphicFrame macro="">
      <xdr:nvGraphicFramePr>
        <xdr:cNvPr id="15" name="Chart 14">
          <a:extLst>
            <a:ext uri="{FF2B5EF4-FFF2-40B4-BE49-F238E27FC236}">
              <a16:creationId xmlns:a16="http://schemas.microsoft.com/office/drawing/2014/main" id="{54B0B2F1-5D3F-13E6-4EE6-FE7FA147E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1296296" backgroundQuery="1" createdVersion="8" refreshedVersion="8" minRefreshableVersion="3" recordCount="0" supportSubquery="1" supportAdvancedDrill="1" xr:uid="{2A41FAA6-19B7-4F40-8D76-5F0195E2EA11}">
  <cacheSource type="external" connectionId="2"/>
  <cacheFields count="4">
    <cacheField name="[Range].[Date (Month)].[Date (Month)]" caption="Date (Month)" numFmtId="0" hierarchy="10" level="1">
      <sharedItems count="12">
        <s v="Jan"/>
        <s v="Feb"/>
        <s v="Mar"/>
        <s v="Apr"/>
        <s v="May"/>
        <s v="Jun"/>
        <s v="Jul"/>
        <s v="Aug"/>
        <s v="Sep"/>
        <s v="Oct"/>
        <s v="Nov"/>
        <s v="Dec"/>
      </sharedItems>
    </cacheField>
    <cacheField name="[Measures].[Sum of Amount]" caption="Sum of Amount" numFmtId="0" hierarchy="14" level="32767"/>
    <cacheField name="[Range].[Amount].[Amount]" caption="Amount" numFmtId="0" hierarchy="7" level="1">
      <sharedItems containsSemiMixedTypes="0" containsNonDate="0" containsString="0"/>
    </cacheField>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3"/>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2"/>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1874997" backgroundQuery="1" createdVersion="8" refreshedVersion="8" minRefreshableVersion="3" recordCount="0" supportSubquery="1" supportAdvancedDrill="1" xr:uid="{91A92C56-3DF2-4BBB-9534-6B82C7E1D8CC}">
  <cacheSource type="external" connectionId="2"/>
  <cacheFields count="5">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NonDate="0" containsString="0"/>
    </cacheField>
    <cacheField name="[Measures].[Sum of Amount]" caption="Sum of Amount" numFmtId="0" hierarchy="14" level="32767"/>
    <cacheField name="[Range].[Region].[Region]" caption="Region" numFmtId="0" hierarchy="3" level="1">
      <sharedItems count="4">
        <s v="East"/>
        <s v="North"/>
        <s v="South"/>
        <s v="West"/>
      </sharedItems>
    </cacheField>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Item]" caption="Item" attribute="1" defaultMemberUniqueName="[Range].[Item].[All]" allUniqueName="[Range].[Item].[All]" dimensionUniqueName="[Range]" displayFolder="" count="2" memberValueDatatype="130" unbalanced="0">
      <fieldsUsage count="2">
        <fieldUsage x="-1"/>
        <fieldUsage x="4"/>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222222" backgroundQuery="1" createdVersion="8" refreshedVersion="8" minRefreshableVersion="3" recordCount="0" supportSubquery="1" supportAdvancedDrill="1" xr:uid="{A11BF2ED-67C5-4421-A77F-238B524F5865}">
  <cacheSource type="external" connectionId="2"/>
  <cacheFields count="4">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Range].[Item].[Item]" caption="Item" numFmtId="0" hierarchy="4" level="1">
      <sharedItems count="6">
        <s v="Keyboard"/>
        <s v="Monitor"/>
        <s v="Mouse"/>
        <s v="Printer"/>
        <s v="Scanner"/>
        <s v="Speaker"/>
      </sharedItems>
    </cacheField>
    <cacheField name="[Measures].[Sum of Qty]" caption="Sum of Qty" numFmtId="0" hierarchy="20" level="32767"/>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2569443" backgroundQuery="1" createdVersion="8" refreshedVersion="8" minRefreshableVersion="3" recordCount="0" supportSubquery="1" supportAdvancedDrill="1" xr:uid="{2B77684A-A8C4-42B4-BBF8-12654E244738}">
  <cacheSource type="external" connectionId="2"/>
  <cacheFields count="4">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Range].[Item].[Item]" caption="Item" numFmtId="0" hierarchy="4" level="1">
      <sharedItems count="6">
        <s v="Keyboard"/>
        <s v="Monitor"/>
        <s v="Mouse"/>
        <s v="Printer"/>
        <s v="Scanner"/>
        <s v="Speaker"/>
      </sharedItems>
    </cacheField>
    <cacheField name="[Measures].[Sum of Amount]" caption="Sum of Amount" numFmtId="0" hierarchy="14" level="32767"/>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3611113" backgroundQuery="1" createdVersion="8" refreshedVersion="8" minRefreshableVersion="3" recordCount="0" supportSubquery="1" supportAdvancedDrill="1" xr:uid="{D1997B9A-A59D-41D9-81DA-3B2FAE03CEA5}">
  <cacheSource type="external" connectionId="2"/>
  <cacheFields count="5">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Measures].[Sum of Amount]" caption="Sum of Amount" numFmtId="0" hierarchy="14" level="32767"/>
    <cacheField name="[Range].[Salesman].[Salesman]" caption="Salesman" numFmtId="0" hierarchy="2" level="1">
      <sharedItems count="6">
        <s v="Ajit Kumar"/>
        <s v="Amit"/>
        <s v="Chandu"/>
        <s v="Ramesh"/>
        <s v="Rohit Das"/>
        <s v="Siddhu"/>
      </sharedItems>
    </cacheField>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4"/>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4189814" backgroundQuery="1" createdVersion="8" refreshedVersion="8" minRefreshableVersion="3" recordCount="0" supportSubquery="1" supportAdvancedDrill="1" xr:uid="{C2AE5233-D05E-48C0-A3F3-586A51456DEE}">
  <cacheSource type="external" connectionId="2"/>
  <cacheFields count="5">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Measures].[Sum of Amount]" caption="Sum of Amount" numFmtId="0" hierarchy="14" level="32767"/>
    <cacheField name="[Range].[Salesman].[Salesman]" caption="Salesman" numFmtId="0" hierarchy="2" level="1">
      <sharedItems count="3">
        <s v="Ajit Kumar"/>
        <s v="Rohit Das"/>
        <s v="Siddhu"/>
      </sharedItems>
    </cacheField>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4"/>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4768521" backgroundQuery="1" createdVersion="8" refreshedVersion="8" minRefreshableVersion="3" recordCount="0" supportSubquery="1" supportAdvancedDrill="1" xr:uid="{D4124FFC-4948-4168-AF46-58C163762685}">
  <cacheSource type="external" connectionId="2"/>
  <cacheFields count="5">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Measures].[Sum of Amount]" caption="Sum of Amount" numFmtId="0" hierarchy="14" level="32767"/>
    <cacheField name="[Range].[Salesman].[Salesman]" caption="Salesman" numFmtId="0" hierarchy="2" level="1">
      <sharedItems count="3">
        <s v="Amit"/>
        <s v="Chandu"/>
        <s v="Ramesh"/>
      </sharedItems>
    </cacheField>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4"/>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4768521" backgroundQuery="1" createdVersion="8" refreshedVersion="8" minRefreshableVersion="3" recordCount="0" supportSubquery="1" supportAdvancedDrill="1" xr:uid="{238EBDB9-72BE-4B30-8480-C353C4371F51}">
  <cacheSource type="external" connectionId="2"/>
  <cacheFields count="3">
    <cacheField name="[Range].[Date (Month)].[Date (Month)]" caption="Date (Month)" numFmtId="0" hierarchy="10" level="1">
      <sharedItems count="12">
        <s v="Jan"/>
        <s v="Feb"/>
        <s v="Mar"/>
        <s v="Apr"/>
        <s v="May"/>
        <s v="Jun"/>
        <s v="Jul"/>
        <s v="Aug"/>
        <s v="Sep"/>
        <s v="Oct"/>
        <s v="Nov"/>
        <s v="Dec"/>
      </sharedItems>
    </cacheField>
    <cacheField name="[Measures].[Sum of Amount]" caption="Sum of Amount" numFmtId="0" hierarchy="14" level="32767"/>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488426" backgroundQuery="1" createdVersion="8" refreshedVersion="8" minRefreshableVersion="3" recordCount="0" supportSubquery="1" supportAdvancedDrill="1" xr:uid="{6FD2934B-3A17-4F59-B515-B576ABD28052}">
  <cacheSource type="external" connectionId="2"/>
  <cacheFields count="4">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Measures].[Count of Amount]" caption="Count of Amount" numFmtId="0" hierarchy="21" level="32767"/>
    <cacheField name="[Range].[Item].[Item]" caption="Item" numFmtId="0" hierarchy="4" level="1">
      <sharedItems containsSemiMixedTypes="0" containsNonDate="0" containsString="0"/>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3"/>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579325231483" backgroundQuery="1" createdVersion="8" refreshedVersion="8" minRefreshableVersion="3" recordCount="0" supportSubquery="1" supportAdvancedDrill="1" xr:uid="{CE7A5139-5764-44DC-99A4-7502E66EB33B}">
  <cacheSource type="external" connectionId="2"/>
  <cacheFields count="4">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NonDate="0" containsString="0"/>
    </cacheField>
    <cacheField name="[Measures].[Sum of Amount]" caption="Sum of Amount" numFmtId="0" hierarchy="14" level="32767"/>
    <cacheField name="[Range].[Item].[Item]" caption="Item" numFmtId="0" hierarchy="4" level="1">
      <sharedItems count="6">
        <s v="Keyboard"/>
        <s v="Monitor"/>
        <s v="Mouse"/>
        <s v="Printer"/>
        <s v="Scanner"/>
        <s v="Speaker"/>
      </sharedItems>
    </cacheField>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3"/>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1.529812615743" backgroundQuery="1" createdVersion="8" refreshedVersion="8" minRefreshableVersion="3" recordCount="0" supportSubquery="1" supportAdvancedDrill="1" xr:uid="{4615A720-C303-4026-A8C8-03BCCA45CC63}">
  <cacheSource type="external" connectionId="2"/>
  <cacheFields count="4">
    <cacheField name="[Range].[Date (Month)].[Date (Month)]" caption="Date (Month)" numFmtId="0" hierarchy="10" level="1">
      <sharedItems count="12">
        <s v="Jan"/>
        <s v="Feb"/>
        <s v="Mar"/>
        <s v="Apr"/>
        <s v="May"/>
        <s v="Jun"/>
        <s v="Jul"/>
        <s v="Aug"/>
        <s v="Sep"/>
        <s v="Oct"/>
        <s v="Nov"/>
        <s v="Dec"/>
      </sharedItems>
    </cacheField>
    <cacheField name="[Range].[Amount].[Amount]" caption="Amount" numFmtId="0" hierarchy="7" level="1">
      <sharedItems containsSemiMixedTypes="0" containsString="0" containsNumber="1" containsInteger="1" minValue="380" maxValue="380" count="1">
        <n v="380"/>
      </sharedItems>
      <extLst>
        <ext xmlns:x15="http://schemas.microsoft.com/office/spreadsheetml/2010/11/main" uri="{4F2E5C28-24EA-4eb8-9CBF-B6C8F9C3D259}">
          <x15:cachedUniqueNames>
            <x15:cachedUniqueName index="0" name="[Range].[Amount].&amp;[380]"/>
          </x15:cachedUniqueNames>
        </ext>
      </extLst>
    </cacheField>
    <cacheField name="[Range].[Item].[Item]" caption="Item" numFmtId="0" hierarchy="4" level="1">
      <sharedItems count="3">
        <s v="Keyboard"/>
        <s v="Mouse"/>
        <s v="Speaker"/>
      </sharedItems>
    </cacheField>
    <cacheField name="[Measures].[Sum of Amount]" caption="Sum of Amount" numFmtId="0" hierarchy="14" level="32767"/>
  </cacheFields>
  <cacheHierarchies count="2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fieldsUsage count="2">
        <fieldUsage x="-1"/>
        <fieldUsage x="1"/>
      </fieldsUsage>
    </cacheHierarchy>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y uniqueName="[Measures].[Count of Salesman]" caption="Count of Salesman" measure="1" displayFolder="" measureGroup="Range"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Sum of S No]" caption="Sum of S No" measure="1" displayFolder="" measureGroup="Range"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y uniqueName="[Measures].[Count of Qty]" caption="Count of Qty" measure="1" displayFolder="" measureGroup="Range" count="0" hidden="1">
      <extLst>
        <ext xmlns:x15="http://schemas.microsoft.com/office/spreadsheetml/2010/11/main" uri="{B97F6D7D-B522-45F9-BDA1-12C45D357490}">
          <x15:cacheHierarchy aggregatedColumn="5"/>
        </ext>
      </extLst>
    </cacheHierarchy>
    <cacheHierarchy uniqueName="[Measures].[Count of Item]" caption="Count of Item" measure="1" displayFolder="" measureGroup="Range"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10992708332" backgroundQuery="1" createdVersion="3" refreshedVersion="8" minRefreshableVersion="3" recordCount="0" supportSubquery="1" supportAdvancedDrill="1" xr:uid="{4219009F-34B0-4354-A09B-283A81B3EDA8}">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2"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497741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C5DA8-96B2-4911-95BB-14EFEA9A950D}" name="PivotTable9"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8">
  <location ref="AY10:AZ14"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measureFilter="1" sortType="descending" defaultSubtotal="0" defaultAttributeDrillState="1">
      <items count="3">
        <item x="2"/>
        <item x="1"/>
        <item x="0"/>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Amount" fld="2"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2">
    <chartFormat chart="103" format="3" series="1">
      <pivotArea type="data" outline="0" fieldPosition="0">
        <references count="1">
          <reference field="4294967294" count="1" selected="0">
            <x v="0"/>
          </reference>
        </references>
      </pivotArea>
    </chartFormat>
    <chartFormat chart="109" format="5"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1" series="1">
      <pivotArea type="data" outline="0" fieldPosition="0">
        <references count="1">
          <reference field="4294967294" count="1" selected="0">
            <x v="0"/>
          </reference>
        </references>
      </pivotArea>
    </chartFormat>
    <chartFormat chart="116" format="2" series="1">
      <pivotArea type="data" outline="0" fieldPosition="0">
        <references count="1">
          <reference field="4294967294" count="1" selected="0">
            <x v="0"/>
          </reference>
        </references>
      </pivotArea>
    </chartFormat>
    <chartFormat chart="118" format="4"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40" format="2" series="1">
      <pivotArea type="data" outline="0" fieldPosition="0">
        <references count="1">
          <reference field="4294967294" count="1" selected="0">
            <x v="0"/>
          </reference>
        </references>
      </pivotArea>
    </chartFormat>
    <chartFormat chart="143" format="0" series="1">
      <pivotArea type="data" outline="0" fieldPosition="0">
        <references count="1">
          <reference field="4294967294" count="1" selected="0">
            <x v="0"/>
          </reference>
        </references>
      </pivotArea>
    </chartFormat>
    <chartFormat chart="147" format="2" series="1">
      <pivotArea type="data" outline="0" fieldPosition="0">
        <references count="1">
          <reference field="4294967294" count="1" selected="0">
            <x v="0"/>
          </reference>
        </references>
      </pivotArea>
    </chartFormat>
    <chartFormat chart="149" format="0" series="1">
      <pivotArea type="data" outline="0" fieldPosition="0">
        <references count="1">
          <reference field="4294967294" count="1" selected="0">
            <x v="0"/>
          </reference>
        </references>
      </pivotArea>
    </chartFormat>
    <chartFormat chart="15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pivotHierarchies>
  <pivotTableStyleInfo name="PivotStyleLight16" showRowHeaders="1" showColHeaders="1" showRowStripes="0" showColStripes="0" showLastColumn="1"/>
  <filters count="1">
    <filter fld="3" type="count" id="4" iMeasureHier="14">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EE2778-EFAD-4511-9BB1-2B36E7406858}" name="PivotTable10"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2">
  <location ref="S16:S17" firstHeaderRow="1" firstDataRow="1" firstDataCol="0"/>
  <pivotFields count="3">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1" baseField="0" baseItem="0"/>
  </dataFields>
  <chartFormats count="11">
    <chartFormat chart="39" format="5"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pivotHierarchy dragToData="1" caption="Count of Amount"/>
    <pivotHierarchy dragToData="1" caption="Max of Pric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701F8C-894B-4578-BD97-1E7C2A042E6A}" name="PivotTable5"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6">
  <location ref="D3:E8"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Amount" fld="2" baseField="0" baseItem="0"/>
  </dataFields>
  <chartFormats count="11">
    <chartFormat chart="28"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3" format="8">
      <pivotArea type="data" outline="0" fieldPosition="0">
        <references count="2">
          <reference field="4294967294" count="1" selected="0">
            <x v="0"/>
          </reference>
          <reference field="3" count="1" selected="0">
            <x v="3"/>
          </reference>
        </references>
      </pivotArea>
    </chartFormat>
    <chartFormat chart="43" format="9">
      <pivotArea type="data" outline="0" fieldPosition="0">
        <references count="2">
          <reference field="4294967294" count="1" selected="0">
            <x v="0"/>
          </reference>
          <reference field="3" count="1" selected="0">
            <x v="2"/>
          </reference>
        </references>
      </pivotArea>
    </chartFormat>
    <chartFormat chart="43" format="10">
      <pivotArea type="data" outline="0" fieldPosition="0">
        <references count="2">
          <reference field="4294967294" count="1" selected="0">
            <x v="0"/>
          </reference>
          <reference field="3" count="1" selected="0">
            <x v="1"/>
          </reference>
        </references>
      </pivotArea>
    </chartFormat>
    <chartFormat chart="43" format="11">
      <pivotArea type="data" outline="0" fieldPosition="0">
        <references count="2">
          <reference field="4294967294" count="1" selected="0">
            <x v="0"/>
          </reference>
          <reference field="3"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Range].[Amount].&amp;[380]"/>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pivotHierarchy dragToData="1" caption="Count of Amount"/>
    <pivotHierarchy dragToData="1" caption="Max of Pri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FC525F-9930-43F1-9202-611199C0782B}" name="PivotTable6"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7">
  <location ref="Z13:AA20"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axis="axisRow" allDrilled="1" subtotalTop="0" showAll="0" defaultSubtotal="0" defaultAttributeDrillState="1">
      <items count="6">
        <item x="5"/>
        <item x="0"/>
        <item x="1"/>
        <item x="2"/>
        <item x="3"/>
        <item x="4"/>
      </items>
    </pivotField>
    <pivotField dataField="1" subtotalTop="0" showAll="0" defaultSubtotal="0"/>
  </pivotFields>
  <rowFields count="1">
    <field x="2"/>
  </rowFields>
  <rowItems count="7">
    <i>
      <x/>
    </i>
    <i>
      <x v="1"/>
    </i>
    <i>
      <x v="2"/>
    </i>
    <i>
      <x v="3"/>
    </i>
    <i>
      <x v="4"/>
    </i>
    <i>
      <x v="5"/>
    </i>
    <i t="grand">
      <x/>
    </i>
  </rowItems>
  <colItems count="1">
    <i/>
  </colItems>
  <dataFields count="1">
    <dataField name="Sum of Amount" fld="3" baseField="0" baseItem="0"/>
  </dataFields>
  <chartFormats count="8">
    <chartFormat chart="103" format="3" series="1">
      <pivotArea type="data" outline="0" fieldPosition="0">
        <references count="1">
          <reference field="4294967294" count="1" selected="0">
            <x v="0"/>
          </reference>
        </references>
      </pivotArea>
    </chartFormat>
    <chartFormat chart="109" format="5" series="1">
      <pivotArea type="data" outline="0" fieldPosition="0">
        <references count="1">
          <reference field="4294967294" count="1" selected="0">
            <x v="0"/>
          </reference>
        </references>
      </pivotArea>
    </chartFormat>
    <chartFormat chart="109" format="6">
      <pivotArea type="data" outline="0" fieldPosition="0">
        <references count="2">
          <reference field="4294967294" count="1" selected="0">
            <x v="0"/>
          </reference>
          <reference field="2" count="1" selected="0">
            <x v="5"/>
          </reference>
        </references>
      </pivotArea>
    </chartFormat>
    <chartFormat chart="109" format="7">
      <pivotArea type="data" outline="0" fieldPosition="0">
        <references count="2">
          <reference field="4294967294" count="1" selected="0">
            <x v="0"/>
          </reference>
          <reference field="2" count="1" selected="0">
            <x v="4"/>
          </reference>
        </references>
      </pivotArea>
    </chartFormat>
    <chartFormat chart="109" format="8">
      <pivotArea type="data" outline="0" fieldPosition="0">
        <references count="2">
          <reference field="4294967294" count="1" selected="0">
            <x v="0"/>
          </reference>
          <reference field="2" count="1" selected="0">
            <x v="3"/>
          </reference>
        </references>
      </pivotArea>
    </chartFormat>
    <chartFormat chart="109" format="9">
      <pivotArea type="data" outline="0" fieldPosition="0">
        <references count="2">
          <reference field="4294967294" count="1" selected="0">
            <x v="0"/>
          </reference>
          <reference field="2" count="1" selected="0">
            <x v="2"/>
          </reference>
        </references>
      </pivotArea>
    </chartFormat>
    <chartFormat chart="109" format="10">
      <pivotArea type="data" outline="0" fieldPosition="0">
        <references count="2">
          <reference field="4294967294" count="1" selected="0">
            <x v="0"/>
          </reference>
          <reference field="2" count="1" selected="0">
            <x v="1"/>
          </reference>
        </references>
      </pivotArea>
    </chartFormat>
    <chartFormat chart="109" format="11">
      <pivotArea type="data" outline="0" fieldPosition="0">
        <references count="2">
          <reference field="4294967294" count="1" selected="0">
            <x v="0"/>
          </reference>
          <reference field="2"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8DC9F-94E4-48BA-8C25-3F7BDD1EBA65}" name="PivotTable12"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4">
  <location ref="S19:S20" firstHeaderRow="1" firstDataRow="1" firstDataCol="0"/>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Amount" fld="2" subtotal="count" baseField="0" baseItem="0"/>
  </dataField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caption="Average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6827D-9AD7-465F-9284-31F7F1196290}" name="PivotTable13"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6">
  <location ref="D13:E20"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Items count="1">
    <i/>
  </colItems>
  <dataFields count="1">
    <dataField name="Sum of Amount" fld="2" showDataAs="percentOfTotal" baseField="3" baseItem="0" numFmtId="10"/>
  </dataFields>
  <chartFormats count="18">
    <chartFormat chart="28"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89" format="3">
      <pivotArea type="data" outline="0" fieldPosition="0">
        <references count="2">
          <reference field="4294967294" count="1" selected="0">
            <x v="0"/>
          </reference>
          <reference field="3" count="1" selected="0">
            <x v="4"/>
          </reference>
        </references>
      </pivotArea>
    </chartFormat>
    <chartFormat chart="89" format="4">
      <pivotArea type="data" outline="0" fieldPosition="0">
        <references count="2">
          <reference field="4294967294" count="1" selected="0">
            <x v="0"/>
          </reference>
          <reference field="3" count="1" selected="0">
            <x v="5"/>
          </reference>
        </references>
      </pivotArea>
    </chartFormat>
    <chartFormat chart="89" format="5">
      <pivotArea type="data" outline="0" fieldPosition="0">
        <references count="2">
          <reference field="4294967294" count="1" selected="0">
            <x v="0"/>
          </reference>
          <reference field="3" count="1" selected="0">
            <x v="3"/>
          </reference>
        </references>
      </pivotArea>
    </chartFormat>
    <chartFormat chart="89" format="6">
      <pivotArea type="data" outline="0" fieldPosition="0">
        <references count="2">
          <reference field="4294967294" count="1" selected="0">
            <x v="0"/>
          </reference>
          <reference field="3" count="1" selected="0">
            <x v="2"/>
          </reference>
        </references>
      </pivotArea>
    </chartFormat>
    <chartFormat chart="89" format="7">
      <pivotArea type="data" outline="0" fieldPosition="0">
        <references count="2">
          <reference field="4294967294" count="1" selected="0">
            <x v="0"/>
          </reference>
          <reference field="3" count="1" selected="0">
            <x v="1"/>
          </reference>
        </references>
      </pivotArea>
    </chartFormat>
    <chartFormat chart="89" format="8">
      <pivotArea type="data" outline="0" fieldPosition="0">
        <references count="2">
          <reference field="4294967294" count="1" selected="0">
            <x v="0"/>
          </reference>
          <reference field="3"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Range].[Amount].&amp;[380]"/>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pivotHierarchy dragToData="1" caption="Count of Amount"/>
    <pivotHierarchy dragToData="1" caption="Max of Pri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AB553C-606D-495B-AF37-2CCDD1B0D1B9}" name="PivotTable8"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4">
  <location ref="AF12:AG16"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axis="axisRow" allDrilled="1" subtotalTop="0" showAll="0" measureFilter="1" sortType="descending" defaultSubtotal="0" defaultAttributeDrillState="1">
      <items count="3">
        <item x="2"/>
        <item x="1"/>
        <item x="0"/>
      </items>
    </pivotField>
    <pivotField dataField="1" subtotalTop="0" showAll="0" defaultSubtotal="0"/>
  </pivotFields>
  <rowFields count="1">
    <field x="2"/>
  </rowFields>
  <rowItems count="4">
    <i>
      <x/>
    </i>
    <i>
      <x v="1"/>
    </i>
    <i>
      <x v="2"/>
    </i>
    <i t="grand">
      <x/>
    </i>
  </rowItems>
  <colItems count="1">
    <i/>
  </colItems>
  <dataFields count="1">
    <dataField name="Sum of Amount" fld="3" baseField="0" baseItem="0"/>
  </dataFields>
  <chartFormats count="6">
    <chartFormat chart="103" format="3" series="1">
      <pivotArea type="data" outline="0" fieldPosition="0">
        <references count="1">
          <reference field="4294967294" count="1" selected="0">
            <x v="0"/>
          </reference>
        </references>
      </pivotArea>
    </chartFormat>
    <chartFormat chart="109" format="5"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1" series="1">
      <pivotArea type="data" outline="0" fieldPosition="0">
        <references count="1">
          <reference field="4294967294" count="1" selected="0">
            <x v="0"/>
          </reference>
        </references>
      </pivotArea>
    </chartFormat>
    <chartFormat chart="116" format="2" series="1">
      <pivotArea type="data" outline="0" fieldPosition="0">
        <references count="1">
          <reference field="4294967294" count="1" selected="0">
            <x v="0"/>
          </reference>
        </references>
      </pivotArea>
    </chartFormat>
    <chartFormat chart="123" format="1"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pivotHierarchies>
  <pivotTableStyleInfo name="PivotStyleLight16" showRowHeaders="1" showColHeaders="1" showRowStripes="0" showColStripes="0" showLastColumn="1"/>
  <filters count="1">
    <filter fld="2" type="count" id="1" iMeasureHier="14">
      <autoFilter ref="A1">
        <filterColumn colId="0">
          <top10 top="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5BFE5A-EE8B-4133-9E21-7E21C97C8E31}" name="PivotTable7"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4">
  <location ref="AT10:AU14"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measureFilter="1" sortType="ascending"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Amount" fld="2" baseField="0" baseItem="0"/>
  </dataFields>
  <chartFormats count="10">
    <chartFormat chart="103" format="3" series="1">
      <pivotArea type="data" outline="0" fieldPosition="0">
        <references count="1">
          <reference field="4294967294" count="1" selected="0">
            <x v="0"/>
          </reference>
        </references>
      </pivotArea>
    </chartFormat>
    <chartFormat chart="109" format="5"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1" series="1">
      <pivotArea type="data" outline="0" fieldPosition="0">
        <references count="1">
          <reference field="4294967294" count="1" selected="0">
            <x v="0"/>
          </reference>
        </references>
      </pivotArea>
    </chartFormat>
    <chartFormat chart="116" format="2" series="1">
      <pivotArea type="data" outline="0" fieldPosition="0">
        <references count="1">
          <reference field="4294967294" count="1" selected="0">
            <x v="0"/>
          </reference>
        </references>
      </pivotArea>
    </chartFormat>
    <chartFormat chart="118" format="4"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40" format="2" series="1">
      <pivotArea type="data" outline="0" fieldPosition="0">
        <references count="1">
          <reference field="4294967294" count="1" selected="0">
            <x v="0"/>
          </reference>
        </references>
      </pivotArea>
    </chartFormat>
    <chartFormat chart="143" format="0" series="1">
      <pivotArea type="data" outline="0" fieldPosition="0">
        <references count="1">
          <reference field="4294967294" count="1" selected="0">
            <x v="0"/>
          </reference>
        </references>
      </pivotArea>
    </chartFormat>
    <chartFormat chart="14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pivotHierarchies>
  <pivotTableStyleInfo name="PivotStyleLight16" showRowHeaders="1" showColHeaders="1" showRowStripes="0" showColStripes="0" showLastColumn="1"/>
  <filters count="1">
    <filter fld="3" type="count" id="3" iMeasureHier="14">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244151-50F6-4EA8-973F-EA03041878E5}" name="PivotTable3"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3:B16" firstHeaderRow="1" firstDataRow="1" firstDataCol="1"/>
  <pivotFields count="4">
    <pivotField axis="axisRow" allDrilled="1" subtotalTop="0" showAll="0" sortType="ascending"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3">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Range].[Amount].&amp;[380]"/>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F029E9-A648-40C9-B8B0-2B83F4A0649F}" name="PivotTable4"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6">
  <location ref="P13:Q20"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Items count="1">
    <i/>
  </colItems>
  <dataFields count="1">
    <dataField name="Sum of Qty" fld="3" baseField="2" baseItem="0"/>
  </dataFields>
  <chartFormats count="2">
    <chartFormat chart="79" format="0" series="1">
      <pivotArea type="data" outline="0" fieldPosition="0">
        <references count="1">
          <reference field="4294967294" count="1" selected="0">
            <x v="0"/>
          </reference>
        </references>
      </pivotArea>
    </chartFormat>
    <chartFormat chart="81"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E7BC92-A5E0-442C-81E7-724336582770}" name="PivotTable1"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7">
  <location ref="AJ12:AK19"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Amount" fld="2" baseField="0" baseItem="0"/>
  </dataFields>
  <chartFormats count="8">
    <chartFormat chart="103" format="3" series="1">
      <pivotArea type="data" outline="0" fieldPosition="0">
        <references count="1">
          <reference field="4294967294" count="1" selected="0">
            <x v="0"/>
          </reference>
        </references>
      </pivotArea>
    </chartFormat>
    <chartFormat chart="109" format="5"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1" series="1">
      <pivotArea type="data" outline="0" fieldPosition="0">
        <references count="1">
          <reference field="4294967294" count="1" selected="0">
            <x v="0"/>
          </reference>
        </references>
      </pivotArea>
    </chartFormat>
    <chartFormat chart="116" format="2" series="1">
      <pivotArea type="data" outline="0" fieldPosition="0">
        <references count="1">
          <reference field="4294967294" count="1" selected="0">
            <x v="0"/>
          </reference>
        </references>
      </pivotArea>
    </chartFormat>
    <chartFormat chart="118" format="4"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4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Sum of Price"/>
    <pivotHierarchy dragToData="1"/>
    <pivotHierarchy dragToData="1" caption="Sum of Qty"/>
    <pivotHierarchy dragToData="1" caption="Count of Amount"/>
    <pivotHierarchy dragToData="1" caption="Max of Price"/>
    <pivotHierarchy dragToData="1" caption="Count of Qty"/>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CBC10D-DF8C-4964-9924-B4EBD62CE7C5}" autoFormatId="16" applyNumberFormats="0" applyBorderFormats="0" applyFontFormats="0" applyPatternFormats="0" applyAlignmentFormats="0" applyWidthHeightFormats="0">
  <queryTableRefresh nextId="13">
    <queryTableFields count="12">
      <queryTableField id="1" name="Range[S No]" tableColumnId="1"/>
      <queryTableField id="2" name="Range[Date]" tableColumnId="2"/>
      <queryTableField id="3" name="Range[Salesman]" tableColumnId="3"/>
      <queryTableField id="4" name="Range[Region]" tableColumnId="4"/>
      <queryTableField id="5" name="Range[Item]" tableColumnId="5"/>
      <queryTableField id="6" name="Range[Qty]" tableColumnId="6"/>
      <queryTableField id="7" name="Range[Price]" tableColumnId="7"/>
      <queryTableField id="8" name="Range[Amount]" tableColumnId="8"/>
      <queryTableField id="9" name="Range[Date (Year)]" tableColumnId="9"/>
      <queryTableField id="10" name="Range[Date (Quarter)]" tableColumnId="10"/>
      <queryTableField id="11" name="Range[Date (Month)]" tableColumnId="11"/>
      <queryTableField id="12" name="Range[Date (Month Index)]" tableColumnId="1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3ED85B-0A29-4843-B699-CD598A229E1A}" sourceName="[Range].[Region]">
  <pivotTables>
    <pivotTable tabId="6" name="PivotTable3"/>
    <pivotTable tabId="6" name="PivotTable5"/>
    <pivotTable tabId="6" name="PivotTable4"/>
    <pivotTable tabId="6" name="PivotTable6"/>
    <pivotTable tabId="6" name="PivotTable8"/>
    <pivotTable tabId="6" name="PivotTable1"/>
    <pivotTable tabId="6" name="PivotTable7"/>
    <pivotTable tabId="6" name="PivotTable9"/>
    <pivotTable tabId="6" name="PivotTable10"/>
    <pivotTable tabId="6" name="PivotTable12"/>
    <pivotTable tabId="6" name="PivotTable13"/>
  </pivotTables>
  <data>
    <olap pivotCacheId="449774109">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1D3C45BB-91B5-4C7F-8EEC-824BE645787F}" sourceName="[Range].[Item]">
  <pivotTables>
    <pivotTable tabId="6" name="PivotTable3"/>
    <pivotTable tabId="6" name="PivotTable5"/>
    <pivotTable tabId="6" name="PivotTable4"/>
    <pivotTable tabId="6" name="PivotTable6"/>
    <pivotTable tabId="6" name="PivotTable8"/>
    <pivotTable tabId="6" name="PivotTable1"/>
    <pivotTable tabId="6" name="PivotTable7"/>
    <pivotTable tabId="6" name="PivotTable9"/>
    <pivotTable tabId="6" name="PivotTable10"/>
    <pivotTable tabId="6" name="PivotTable12"/>
    <pivotTable tabId="6" name="PivotTable13"/>
  </pivotTables>
  <data>
    <olap pivotCacheId="449774109">
      <levels count="2">
        <level uniqueName="[Range].[Item].[(All)]" sourceCaption="(All)" count="0"/>
        <level uniqueName="[Range].[Item].[Item]" sourceCaption="Item" count="6">
          <ranges>
            <range startItem="0">
              <i n="[Range].[Item].&amp;[Keyboard]" c="Keyboard"/>
              <i n="[Range].[Item].&amp;[Monitor]" c="Monitor"/>
              <i n="[Range].[Item].&amp;[Mouse]" c="Mouse"/>
              <i n="[Range].[Item].&amp;[Printer]" c="Printer"/>
              <i n="[Range].[Item].&amp;[Scanner]" c="Scanner"/>
              <i n="[Range].[Item].&amp;[Speaker]" c="Speaker"/>
            </range>
          </ranges>
        </level>
      </levels>
      <selections count="1">
        <selection n="[Range].[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C829F1E3-110A-4B00-8295-FE9F0E1E7DCE}" cache="Slicer_Region" caption="Region" columnCount="2" level="1" rowHeight="241300"/>
  <slicer name="Item 7" xr10:uid="{09E3D5FF-D359-4E4F-A48A-5198259961E9}" cache="Slicer_Item" caption="Item" columnCount="6"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C4EAD9A-C4C0-4FF2-B3C3-EF97A4F1DAB6}" cache="Slicer_Region" caption="Region" columnCount="2" level="1" rowHeight="241300"/>
  <slicer name="Item 6" xr10:uid="{4A6D59C9-480E-4C85-86FB-3B6FDE3F361D}" cache="Slicer_Item" caption="Item" columnCount="6"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54B24C2-D063-4D81-AF56-349B14016CD1}" cache="Slicer_Region" caption="Region" columnCount="2" level="1" rowHeight="241300"/>
  <slicer name="Item 5" xr10:uid="{B300EDC4-195D-41F2-803C-CCF16785036A}" cache="Slicer_Item" caption="Item" columnCount="6"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2693443-17B2-46B6-810D-2A92CBB574CF}" cache="Slicer_Region" caption="Region" columnCount="2" level="1" rowHeight="241300"/>
  <slicer name="Item 4" xr10:uid="{F587B4D2-7F0C-4D40-972F-33ED634A32C3}" cache="Slicer_Item" caption="Item" columnCount="6"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3DB74-1C1B-4E1C-8050-960DA6CAC044}" name="Table_ExternalData_1" displayName="Table_ExternalData_1" ref="A3:L369" tableType="queryTable" totalsRowShown="0">
  <autoFilter ref="A3:L369" xr:uid="{9DF3DB74-1C1B-4E1C-8050-960DA6CAC044}"/>
  <tableColumns count="12">
    <tableColumn id="1" xr3:uid="{2B2BF06F-D7B0-4BB1-8C6F-2E1E95D092FA}" uniqueName="1" name="Range[S No]" queryTableFieldId="1"/>
    <tableColumn id="2" xr3:uid="{CFC21AA9-4CE5-4D32-8E15-377AA1A75239}" uniqueName="2" name="Range[Date]" queryTableFieldId="2" dataDxfId="6"/>
    <tableColumn id="3" xr3:uid="{EF599A2E-398E-4200-B2EC-81E6232F8B11}" uniqueName="3" name="Range[Salesman]" queryTableFieldId="3"/>
    <tableColumn id="4" xr3:uid="{AD95606C-545F-41BF-9C1D-DD944CD00B89}" uniqueName="4" name="Range[Region]" queryTableFieldId="4"/>
    <tableColumn id="5" xr3:uid="{1E60C25B-A9EB-4914-9085-D14A6F1D239C}" uniqueName="5" name="Range[Item]" queryTableFieldId="5"/>
    <tableColumn id="6" xr3:uid="{38465A7A-E401-4020-B87B-7D6F954FA2F8}" uniqueName="6" name="Range[Qty]" queryTableFieldId="6"/>
    <tableColumn id="7" xr3:uid="{2E629910-4DDC-46C5-8685-F3AA16F57976}" uniqueName="7" name="Range[Price]" queryTableFieldId="7"/>
    <tableColumn id="8" xr3:uid="{A2857E4F-35E6-4541-8097-9B9EE77C77CB}" uniqueName="8" name="Range[Amount]" queryTableFieldId="8"/>
    <tableColumn id="9" xr3:uid="{C44B125C-D05F-4DF4-B89D-8A93F8F9CEA1}" uniqueName="9" name="Range[Date (Year)]" queryTableFieldId="9"/>
    <tableColumn id="10" xr3:uid="{935EDE64-AD42-4DD1-88AB-9582617908E4}" uniqueName="10" name="Range[Date (Quarter)]" queryTableFieldId="10"/>
    <tableColumn id="11" xr3:uid="{79EC76E6-CAC8-46BC-8FC9-99D2AFF05725}" uniqueName="11" name="Range[Date (Month)]" queryTableFieldId="11"/>
    <tableColumn id="12" xr3:uid="{34AF49ED-A9DD-429C-9C17-CB3A0B1FE639}" uniqueName="12" name="Range[Date (Month Index)]"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E8D04-F889-473F-994F-DF022CA9C7BC}">
  <dimension ref="A1"/>
  <sheetViews>
    <sheetView showGridLines="0" zoomScale="84" zoomScaleNormal="84"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5DAA-B979-4E9C-926C-D45A826B0FFB}">
  <dimension ref="A1"/>
  <sheetViews>
    <sheetView showGridLines="0" zoomScale="84" zoomScaleNormal="84" workbookViewId="0"/>
  </sheetViews>
  <sheetFormatPr defaultRowHeight="15" x14ac:dyDescent="0.25"/>
  <sheetData>
    <row r="1" spans="1:1" x14ac:dyDescent="0.25">
      <c r="A1" t="s">
        <v>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9FDD-F314-4C59-8DC7-60FD91DFFB75}">
  <dimension ref="A1"/>
  <sheetViews>
    <sheetView showGridLines="0" zoomScale="84" zoomScaleNormal="84"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B1AEE-DAFB-444D-A04F-D6EA22E6BAC4}">
  <dimension ref="A1"/>
  <sheetViews>
    <sheetView showGridLines="0" zoomScale="84" zoomScaleNormal="84"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CB24-612D-41E6-B9FF-ACEA1CD5B969}">
  <dimension ref="A1:L369"/>
  <sheetViews>
    <sheetView workbookViewId="0"/>
  </sheetViews>
  <sheetFormatPr defaultRowHeight="15" x14ac:dyDescent="0.25"/>
  <cols>
    <col min="1" max="1" width="14.140625" bestFit="1" customWidth="1"/>
    <col min="2" max="2" width="14.28515625" bestFit="1" customWidth="1"/>
    <col min="3" max="3" width="18.7109375" bestFit="1" customWidth="1"/>
    <col min="4" max="4" width="16.42578125" bestFit="1" customWidth="1"/>
    <col min="5" max="5" width="14.28515625" bestFit="1" customWidth="1"/>
    <col min="6" max="6" width="13.28515625" bestFit="1" customWidth="1"/>
    <col min="7" max="7" width="14.5703125" bestFit="1" customWidth="1"/>
    <col min="8" max="8" width="17.42578125" bestFit="1" customWidth="1"/>
    <col min="9" max="9" width="20.42578125" bestFit="1" customWidth="1"/>
    <col min="10" max="10" width="23.28515625" bestFit="1" customWidth="1"/>
    <col min="11" max="11" width="22.42578125" bestFit="1" customWidth="1"/>
    <col min="12" max="12" width="28.140625" bestFit="1" customWidth="1"/>
  </cols>
  <sheetData>
    <row r="1" spans="1:12" x14ac:dyDescent="0.25">
      <c r="A1" s="5" t="s">
        <v>60</v>
      </c>
    </row>
    <row r="3" spans="1:12" x14ac:dyDescent="0.25">
      <c r="A3" t="s">
        <v>42</v>
      </c>
      <c r="B3" t="s">
        <v>43</v>
      </c>
      <c r="C3" t="s">
        <v>44</v>
      </c>
      <c r="D3" t="s">
        <v>45</v>
      </c>
      <c r="E3" t="s">
        <v>46</v>
      </c>
      <c r="F3" t="s">
        <v>47</v>
      </c>
      <c r="G3" t="s">
        <v>48</v>
      </c>
      <c r="H3" t="s">
        <v>49</v>
      </c>
      <c r="I3" t="s">
        <v>50</v>
      </c>
      <c r="J3" t="s">
        <v>51</v>
      </c>
      <c r="K3" t="s">
        <v>52</v>
      </c>
      <c r="L3" t="s">
        <v>53</v>
      </c>
    </row>
    <row r="4" spans="1:12" x14ac:dyDescent="0.25">
      <c r="A4">
        <v>1</v>
      </c>
      <c r="B4" s="1">
        <v>44197</v>
      </c>
      <c r="C4" t="s">
        <v>8</v>
      </c>
      <c r="D4" t="s">
        <v>9</v>
      </c>
      <c r="E4" t="s">
        <v>10</v>
      </c>
      <c r="F4">
        <v>7</v>
      </c>
      <c r="G4">
        <v>210</v>
      </c>
      <c r="H4">
        <v>1470</v>
      </c>
      <c r="I4" t="s">
        <v>54</v>
      </c>
      <c r="J4" t="s">
        <v>55</v>
      </c>
      <c r="K4" t="s">
        <v>27</v>
      </c>
      <c r="L4">
        <v>1</v>
      </c>
    </row>
    <row r="5" spans="1:12" x14ac:dyDescent="0.25">
      <c r="A5">
        <v>2</v>
      </c>
      <c r="B5" s="1">
        <v>44198</v>
      </c>
      <c r="C5" t="s">
        <v>11</v>
      </c>
      <c r="D5" t="s">
        <v>12</v>
      </c>
      <c r="E5" t="s">
        <v>13</v>
      </c>
      <c r="F5">
        <v>6</v>
      </c>
      <c r="G5">
        <v>2100</v>
      </c>
      <c r="H5">
        <v>12600</v>
      </c>
      <c r="I5" t="s">
        <v>54</v>
      </c>
      <c r="J5" t="s">
        <v>55</v>
      </c>
      <c r="K5" t="s">
        <v>27</v>
      </c>
      <c r="L5">
        <v>1</v>
      </c>
    </row>
    <row r="6" spans="1:12" x14ac:dyDescent="0.25">
      <c r="A6">
        <v>3</v>
      </c>
      <c r="B6" s="1">
        <v>44199</v>
      </c>
      <c r="C6" t="s">
        <v>14</v>
      </c>
      <c r="D6" t="s">
        <v>9</v>
      </c>
      <c r="E6" t="s">
        <v>15</v>
      </c>
      <c r="F6">
        <v>5</v>
      </c>
      <c r="G6">
        <v>1200</v>
      </c>
      <c r="H6">
        <v>6000</v>
      </c>
      <c r="I6" t="s">
        <v>54</v>
      </c>
      <c r="J6" t="s">
        <v>55</v>
      </c>
      <c r="K6" t="s">
        <v>27</v>
      </c>
      <c r="L6">
        <v>1</v>
      </c>
    </row>
    <row r="7" spans="1:12" x14ac:dyDescent="0.25">
      <c r="A7">
        <v>4</v>
      </c>
      <c r="B7" s="1">
        <v>44200</v>
      </c>
      <c r="C7" t="s">
        <v>16</v>
      </c>
      <c r="D7" t="s">
        <v>12</v>
      </c>
      <c r="E7" t="s">
        <v>17</v>
      </c>
      <c r="F7">
        <v>4</v>
      </c>
      <c r="G7">
        <v>1500</v>
      </c>
      <c r="H7">
        <v>6000</v>
      </c>
      <c r="I7" t="s">
        <v>54</v>
      </c>
      <c r="J7" t="s">
        <v>55</v>
      </c>
      <c r="K7" t="s">
        <v>27</v>
      </c>
      <c r="L7">
        <v>1</v>
      </c>
    </row>
    <row r="8" spans="1:12" x14ac:dyDescent="0.25">
      <c r="A8">
        <v>5</v>
      </c>
      <c r="B8" s="1">
        <v>44201</v>
      </c>
      <c r="C8" t="s">
        <v>18</v>
      </c>
      <c r="D8" t="s">
        <v>9</v>
      </c>
      <c r="E8" t="s">
        <v>19</v>
      </c>
      <c r="F8">
        <v>3</v>
      </c>
      <c r="G8">
        <v>300</v>
      </c>
      <c r="H8">
        <v>900</v>
      </c>
      <c r="I8" t="s">
        <v>54</v>
      </c>
      <c r="J8" t="s">
        <v>55</v>
      </c>
      <c r="K8" t="s">
        <v>27</v>
      </c>
      <c r="L8">
        <v>1</v>
      </c>
    </row>
    <row r="9" spans="1:12" x14ac:dyDescent="0.25">
      <c r="A9">
        <v>6</v>
      </c>
      <c r="B9" s="1">
        <v>44202</v>
      </c>
      <c r="C9" t="s">
        <v>20</v>
      </c>
      <c r="D9" t="s">
        <v>9</v>
      </c>
      <c r="E9" t="s">
        <v>21</v>
      </c>
      <c r="F9">
        <v>2</v>
      </c>
      <c r="G9">
        <v>190</v>
      </c>
      <c r="H9">
        <v>380</v>
      </c>
      <c r="I9" t="s">
        <v>54</v>
      </c>
      <c r="J9" t="s">
        <v>55</v>
      </c>
      <c r="K9" t="s">
        <v>27</v>
      </c>
      <c r="L9">
        <v>1</v>
      </c>
    </row>
    <row r="10" spans="1:12" x14ac:dyDescent="0.25">
      <c r="A10">
        <v>7</v>
      </c>
      <c r="B10" s="1">
        <v>44203</v>
      </c>
      <c r="C10" t="s">
        <v>8</v>
      </c>
      <c r="D10" t="s">
        <v>9</v>
      </c>
      <c r="E10" t="s">
        <v>10</v>
      </c>
      <c r="F10">
        <v>7</v>
      </c>
      <c r="G10">
        <v>210</v>
      </c>
      <c r="H10">
        <v>1470</v>
      </c>
      <c r="I10" t="s">
        <v>54</v>
      </c>
      <c r="J10" t="s">
        <v>55</v>
      </c>
      <c r="K10" t="s">
        <v>27</v>
      </c>
      <c r="L10">
        <v>1</v>
      </c>
    </row>
    <row r="11" spans="1:12" x14ac:dyDescent="0.25">
      <c r="A11">
        <v>8</v>
      </c>
      <c r="B11" s="1">
        <v>44204</v>
      </c>
      <c r="C11" t="s">
        <v>11</v>
      </c>
      <c r="D11" t="s">
        <v>12</v>
      </c>
      <c r="E11" t="s">
        <v>13</v>
      </c>
      <c r="F11">
        <v>6</v>
      </c>
      <c r="G11">
        <v>2100</v>
      </c>
      <c r="H11">
        <v>12600</v>
      </c>
      <c r="I11" t="s">
        <v>54</v>
      </c>
      <c r="J11" t="s">
        <v>55</v>
      </c>
      <c r="K11" t="s">
        <v>27</v>
      </c>
      <c r="L11">
        <v>1</v>
      </c>
    </row>
    <row r="12" spans="1:12" x14ac:dyDescent="0.25">
      <c r="A12">
        <v>9</v>
      </c>
      <c r="B12" s="1">
        <v>44205</v>
      </c>
      <c r="C12" t="s">
        <v>14</v>
      </c>
      <c r="D12" t="s">
        <v>12</v>
      </c>
      <c r="E12" t="s">
        <v>15</v>
      </c>
      <c r="F12">
        <v>5</v>
      </c>
      <c r="G12">
        <v>1200</v>
      </c>
      <c r="H12">
        <v>6000</v>
      </c>
      <c r="I12" t="s">
        <v>54</v>
      </c>
      <c r="J12" t="s">
        <v>55</v>
      </c>
      <c r="K12" t="s">
        <v>27</v>
      </c>
      <c r="L12">
        <v>1</v>
      </c>
    </row>
    <row r="13" spans="1:12" x14ac:dyDescent="0.25">
      <c r="A13">
        <v>10</v>
      </c>
      <c r="B13" s="1">
        <v>44206</v>
      </c>
      <c r="C13" t="s">
        <v>16</v>
      </c>
      <c r="D13" t="s">
        <v>9</v>
      </c>
      <c r="E13" t="s">
        <v>17</v>
      </c>
      <c r="F13">
        <v>4</v>
      </c>
      <c r="G13">
        <v>1500</v>
      </c>
      <c r="H13">
        <v>6000</v>
      </c>
      <c r="I13" t="s">
        <v>54</v>
      </c>
      <c r="J13" t="s">
        <v>55</v>
      </c>
      <c r="K13" t="s">
        <v>27</v>
      </c>
      <c r="L13">
        <v>1</v>
      </c>
    </row>
    <row r="14" spans="1:12" x14ac:dyDescent="0.25">
      <c r="A14">
        <v>11</v>
      </c>
      <c r="B14" s="1">
        <v>44207</v>
      </c>
      <c r="C14" t="s">
        <v>18</v>
      </c>
      <c r="D14" t="s">
        <v>9</v>
      </c>
      <c r="E14" t="s">
        <v>19</v>
      </c>
      <c r="F14">
        <v>3</v>
      </c>
      <c r="G14">
        <v>300</v>
      </c>
      <c r="H14">
        <v>900</v>
      </c>
      <c r="I14" t="s">
        <v>54</v>
      </c>
      <c r="J14" t="s">
        <v>55</v>
      </c>
      <c r="K14" t="s">
        <v>27</v>
      </c>
      <c r="L14">
        <v>1</v>
      </c>
    </row>
    <row r="15" spans="1:12" x14ac:dyDescent="0.25">
      <c r="A15">
        <v>12</v>
      </c>
      <c r="B15" s="1">
        <v>44208</v>
      </c>
      <c r="C15" t="s">
        <v>20</v>
      </c>
      <c r="D15" t="s">
        <v>12</v>
      </c>
      <c r="E15" t="s">
        <v>21</v>
      </c>
      <c r="F15">
        <v>2</v>
      </c>
      <c r="G15">
        <v>190</v>
      </c>
      <c r="H15">
        <v>380</v>
      </c>
      <c r="I15" t="s">
        <v>54</v>
      </c>
      <c r="J15" t="s">
        <v>55</v>
      </c>
      <c r="K15" t="s">
        <v>27</v>
      </c>
      <c r="L15">
        <v>1</v>
      </c>
    </row>
    <row r="16" spans="1:12" x14ac:dyDescent="0.25">
      <c r="A16">
        <v>13</v>
      </c>
      <c r="B16" s="1">
        <v>44209</v>
      </c>
      <c r="C16" t="s">
        <v>20</v>
      </c>
      <c r="D16" t="s">
        <v>9</v>
      </c>
      <c r="E16" t="s">
        <v>10</v>
      </c>
      <c r="F16">
        <v>2</v>
      </c>
      <c r="G16">
        <v>210</v>
      </c>
      <c r="H16">
        <v>420</v>
      </c>
      <c r="I16" t="s">
        <v>54</v>
      </c>
      <c r="J16" t="s">
        <v>55</v>
      </c>
      <c r="K16" t="s">
        <v>27</v>
      </c>
      <c r="L16">
        <v>1</v>
      </c>
    </row>
    <row r="17" spans="1:12" x14ac:dyDescent="0.25">
      <c r="A17">
        <v>14</v>
      </c>
      <c r="B17" s="1">
        <v>44210</v>
      </c>
      <c r="C17" t="s">
        <v>8</v>
      </c>
      <c r="D17" t="s">
        <v>9</v>
      </c>
      <c r="E17" t="s">
        <v>13</v>
      </c>
      <c r="F17">
        <v>7</v>
      </c>
      <c r="G17">
        <v>2100</v>
      </c>
      <c r="H17">
        <v>14700</v>
      </c>
      <c r="I17" t="s">
        <v>54</v>
      </c>
      <c r="J17" t="s">
        <v>55</v>
      </c>
      <c r="K17" t="s">
        <v>27</v>
      </c>
      <c r="L17">
        <v>1</v>
      </c>
    </row>
    <row r="18" spans="1:12" x14ac:dyDescent="0.25">
      <c r="A18">
        <v>15</v>
      </c>
      <c r="B18" s="1">
        <v>44211</v>
      </c>
      <c r="C18" t="s">
        <v>11</v>
      </c>
      <c r="D18" t="s">
        <v>9</v>
      </c>
      <c r="E18" t="s">
        <v>15</v>
      </c>
      <c r="F18">
        <v>6</v>
      </c>
      <c r="G18">
        <v>1200</v>
      </c>
      <c r="H18">
        <v>7200</v>
      </c>
      <c r="I18" t="s">
        <v>54</v>
      </c>
      <c r="J18" t="s">
        <v>55</v>
      </c>
      <c r="K18" t="s">
        <v>27</v>
      </c>
      <c r="L18">
        <v>1</v>
      </c>
    </row>
    <row r="19" spans="1:12" x14ac:dyDescent="0.25">
      <c r="A19">
        <v>16</v>
      </c>
      <c r="B19" s="1">
        <v>44212</v>
      </c>
      <c r="C19" t="s">
        <v>14</v>
      </c>
      <c r="D19" t="s">
        <v>9</v>
      </c>
      <c r="E19" t="s">
        <v>17</v>
      </c>
      <c r="F19">
        <v>5</v>
      </c>
      <c r="G19">
        <v>1500</v>
      </c>
      <c r="H19">
        <v>7500</v>
      </c>
      <c r="I19" t="s">
        <v>54</v>
      </c>
      <c r="J19" t="s">
        <v>55</v>
      </c>
      <c r="K19" t="s">
        <v>27</v>
      </c>
      <c r="L19">
        <v>1</v>
      </c>
    </row>
    <row r="20" spans="1:12" x14ac:dyDescent="0.25">
      <c r="A20">
        <v>17</v>
      </c>
      <c r="B20" s="1">
        <v>44213</v>
      </c>
      <c r="C20" t="s">
        <v>16</v>
      </c>
      <c r="D20" t="s">
        <v>9</v>
      </c>
      <c r="E20" t="s">
        <v>19</v>
      </c>
      <c r="F20">
        <v>4</v>
      </c>
      <c r="G20">
        <v>300</v>
      </c>
      <c r="H20">
        <v>1200</v>
      </c>
      <c r="I20" t="s">
        <v>54</v>
      </c>
      <c r="J20" t="s">
        <v>55</v>
      </c>
      <c r="K20" t="s">
        <v>27</v>
      </c>
      <c r="L20">
        <v>1</v>
      </c>
    </row>
    <row r="21" spans="1:12" x14ac:dyDescent="0.25">
      <c r="A21">
        <v>18</v>
      </c>
      <c r="B21" s="1">
        <v>44214</v>
      </c>
      <c r="C21" t="s">
        <v>18</v>
      </c>
      <c r="D21" t="s">
        <v>9</v>
      </c>
      <c r="E21" t="s">
        <v>21</v>
      </c>
      <c r="F21">
        <v>3</v>
      </c>
      <c r="G21">
        <v>190</v>
      </c>
      <c r="H21">
        <v>570</v>
      </c>
      <c r="I21" t="s">
        <v>54</v>
      </c>
      <c r="J21" t="s">
        <v>55</v>
      </c>
      <c r="K21" t="s">
        <v>27</v>
      </c>
      <c r="L21">
        <v>1</v>
      </c>
    </row>
    <row r="22" spans="1:12" x14ac:dyDescent="0.25">
      <c r="A22">
        <v>19</v>
      </c>
      <c r="B22" s="1">
        <v>44215</v>
      </c>
      <c r="C22" t="s">
        <v>20</v>
      </c>
      <c r="D22" t="s">
        <v>9</v>
      </c>
      <c r="E22" t="s">
        <v>10</v>
      </c>
      <c r="F22">
        <v>2</v>
      </c>
      <c r="G22">
        <v>210</v>
      </c>
      <c r="H22">
        <v>420</v>
      </c>
      <c r="I22" t="s">
        <v>54</v>
      </c>
      <c r="J22" t="s">
        <v>55</v>
      </c>
      <c r="K22" t="s">
        <v>27</v>
      </c>
      <c r="L22">
        <v>1</v>
      </c>
    </row>
    <row r="23" spans="1:12" x14ac:dyDescent="0.25">
      <c r="A23">
        <v>20</v>
      </c>
      <c r="B23" s="1">
        <v>44216</v>
      </c>
      <c r="C23" t="s">
        <v>8</v>
      </c>
      <c r="D23" t="s">
        <v>9</v>
      </c>
      <c r="E23" t="s">
        <v>15</v>
      </c>
      <c r="F23">
        <v>7</v>
      </c>
      <c r="G23">
        <v>2100</v>
      </c>
      <c r="H23">
        <v>14700</v>
      </c>
      <c r="I23" t="s">
        <v>54</v>
      </c>
      <c r="J23" t="s">
        <v>55</v>
      </c>
      <c r="K23" t="s">
        <v>27</v>
      </c>
      <c r="L23">
        <v>1</v>
      </c>
    </row>
    <row r="24" spans="1:12" x14ac:dyDescent="0.25">
      <c r="A24">
        <v>21</v>
      </c>
      <c r="B24" s="1">
        <v>44217</v>
      </c>
      <c r="C24" t="s">
        <v>11</v>
      </c>
      <c r="D24" t="s">
        <v>12</v>
      </c>
      <c r="E24" t="s">
        <v>17</v>
      </c>
      <c r="F24">
        <v>6</v>
      </c>
      <c r="G24">
        <v>1200</v>
      </c>
      <c r="H24">
        <v>7200</v>
      </c>
      <c r="I24" t="s">
        <v>54</v>
      </c>
      <c r="J24" t="s">
        <v>55</v>
      </c>
      <c r="K24" t="s">
        <v>27</v>
      </c>
      <c r="L24">
        <v>1</v>
      </c>
    </row>
    <row r="25" spans="1:12" x14ac:dyDescent="0.25">
      <c r="A25">
        <v>22</v>
      </c>
      <c r="B25" s="1">
        <v>44218</v>
      </c>
      <c r="C25" t="s">
        <v>14</v>
      </c>
      <c r="D25" t="s">
        <v>9</v>
      </c>
      <c r="E25" t="s">
        <v>19</v>
      </c>
      <c r="F25">
        <v>5</v>
      </c>
      <c r="G25">
        <v>300</v>
      </c>
      <c r="H25">
        <v>1500</v>
      </c>
      <c r="I25" t="s">
        <v>54</v>
      </c>
      <c r="J25" t="s">
        <v>55</v>
      </c>
      <c r="K25" t="s">
        <v>27</v>
      </c>
      <c r="L25">
        <v>1</v>
      </c>
    </row>
    <row r="26" spans="1:12" x14ac:dyDescent="0.25">
      <c r="A26">
        <v>23</v>
      </c>
      <c r="B26" s="1">
        <v>44219</v>
      </c>
      <c r="C26" t="s">
        <v>16</v>
      </c>
      <c r="D26" t="s">
        <v>12</v>
      </c>
      <c r="E26" t="s">
        <v>21</v>
      </c>
      <c r="F26">
        <v>4</v>
      </c>
      <c r="G26">
        <v>200</v>
      </c>
      <c r="H26">
        <v>800</v>
      </c>
      <c r="I26" t="s">
        <v>54</v>
      </c>
      <c r="J26" t="s">
        <v>55</v>
      </c>
      <c r="K26" t="s">
        <v>27</v>
      </c>
      <c r="L26">
        <v>1</v>
      </c>
    </row>
    <row r="27" spans="1:12" x14ac:dyDescent="0.25">
      <c r="A27">
        <v>24</v>
      </c>
      <c r="B27" s="1">
        <v>44220</v>
      </c>
      <c r="C27" t="s">
        <v>18</v>
      </c>
      <c r="D27" t="s">
        <v>9</v>
      </c>
      <c r="E27" t="s">
        <v>10</v>
      </c>
      <c r="F27">
        <v>3</v>
      </c>
      <c r="G27">
        <v>190</v>
      </c>
      <c r="H27">
        <v>570</v>
      </c>
      <c r="I27" t="s">
        <v>54</v>
      </c>
      <c r="J27" t="s">
        <v>55</v>
      </c>
      <c r="K27" t="s">
        <v>27</v>
      </c>
      <c r="L27">
        <v>1</v>
      </c>
    </row>
    <row r="28" spans="1:12" x14ac:dyDescent="0.25">
      <c r="A28">
        <v>25</v>
      </c>
      <c r="B28" s="1">
        <v>44221</v>
      </c>
      <c r="C28" t="s">
        <v>20</v>
      </c>
      <c r="D28" t="s">
        <v>9</v>
      </c>
      <c r="E28" t="s">
        <v>13</v>
      </c>
      <c r="F28">
        <v>2</v>
      </c>
      <c r="G28">
        <v>2100</v>
      </c>
      <c r="H28">
        <v>4200</v>
      </c>
      <c r="I28" t="s">
        <v>54</v>
      </c>
      <c r="J28" t="s">
        <v>55</v>
      </c>
      <c r="K28" t="s">
        <v>27</v>
      </c>
      <c r="L28">
        <v>1</v>
      </c>
    </row>
    <row r="29" spans="1:12" x14ac:dyDescent="0.25">
      <c r="A29">
        <v>26</v>
      </c>
      <c r="B29" s="1">
        <v>44222</v>
      </c>
      <c r="C29" t="s">
        <v>20</v>
      </c>
      <c r="D29" t="s">
        <v>9</v>
      </c>
      <c r="E29" t="s">
        <v>10</v>
      </c>
      <c r="F29">
        <v>7</v>
      </c>
      <c r="G29">
        <v>210</v>
      </c>
      <c r="H29">
        <v>1470</v>
      </c>
      <c r="I29" t="s">
        <v>54</v>
      </c>
      <c r="J29" t="s">
        <v>55</v>
      </c>
      <c r="K29" t="s">
        <v>27</v>
      </c>
      <c r="L29">
        <v>1</v>
      </c>
    </row>
    <row r="30" spans="1:12" x14ac:dyDescent="0.25">
      <c r="A30">
        <v>27</v>
      </c>
      <c r="B30" s="1">
        <v>44223</v>
      </c>
      <c r="C30" t="s">
        <v>8</v>
      </c>
      <c r="D30" t="s">
        <v>9</v>
      </c>
      <c r="E30" t="s">
        <v>13</v>
      </c>
      <c r="F30">
        <v>6</v>
      </c>
      <c r="G30">
        <v>2100</v>
      </c>
      <c r="H30">
        <v>12600</v>
      </c>
      <c r="I30" t="s">
        <v>54</v>
      </c>
      <c r="J30" t="s">
        <v>55</v>
      </c>
      <c r="K30" t="s">
        <v>27</v>
      </c>
      <c r="L30">
        <v>1</v>
      </c>
    </row>
    <row r="31" spans="1:12" x14ac:dyDescent="0.25">
      <c r="A31">
        <v>28</v>
      </c>
      <c r="B31" s="1">
        <v>44224</v>
      </c>
      <c r="C31" t="s">
        <v>8</v>
      </c>
      <c r="D31" t="s">
        <v>12</v>
      </c>
      <c r="E31" t="s">
        <v>10</v>
      </c>
      <c r="F31">
        <v>7</v>
      </c>
      <c r="G31">
        <v>210</v>
      </c>
      <c r="H31">
        <v>1470</v>
      </c>
      <c r="I31" t="s">
        <v>54</v>
      </c>
      <c r="J31" t="s">
        <v>55</v>
      </c>
      <c r="K31" t="s">
        <v>27</v>
      </c>
      <c r="L31">
        <v>1</v>
      </c>
    </row>
    <row r="32" spans="1:12" x14ac:dyDescent="0.25">
      <c r="A32">
        <v>29</v>
      </c>
      <c r="B32" s="1">
        <v>44225</v>
      </c>
      <c r="C32" t="s">
        <v>8</v>
      </c>
      <c r="D32" t="s">
        <v>22</v>
      </c>
      <c r="E32" t="s">
        <v>10</v>
      </c>
      <c r="F32">
        <v>7</v>
      </c>
      <c r="G32">
        <v>210</v>
      </c>
      <c r="H32">
        <v>1470</v>
      </c>
      <c r="I32" t="s">
        <v>54</v>
      </c>
      <c r="J32" t="s">
        <v>55</v>
      </c>
      <c r="K32" t="s">
        <v>27</v>
      </c>
      <c r="L32">
        <v>1</v>
      </c>
    </row>
    <row r="33" spans="1:12" x14ac:dyDescent="0.25">
      <c r="A33">
        <v>30</v>
      </c>
      <c r="B33" s="1">
        <v>44226</v>
      </c>
      <c r="C33" t="s">
        <v>8</v>
      </c>
      <c r="D33" t="s">
        <v>23</v>
      </c>
      <c r="E33" t="s">
        <v>10</v>
      </c>
      <c r="F33">
        <v>7</v>
      </c>
      <c r="G33">
        <v>210</v>
      </c>
      <c r="H33">
        <v>1470</v>
      </c>
      <c r="I33" t="s">
        <v>54</v>
      </c>
      <c r="J33" t="s">
        <v>55</v>
      </c>
      <c r="K33" t="s">
        <v>27</v>
      </c>
      <c r="L33">
        <v>1</v>
      </c>
    </row>
    <row r="34" spans="1:12" x14ac:dyDescent="0.25">
      <c r="A34">
        <v>31</v>
      </c>
      <c r="B34" s="1">
        <v>44227</v>
      </c>
      <c r="C34" t="s">
        <v>8</v>
      </c>
      <c r="D34" t="s">
        <v>9</v>
      </c>
      <c r="E34" t="s">
        <v>10</v>
      </c>
      <c r="F34">
        <v>7</v>
      </c>
      <c r="G34">
        <v>210</v>
      </c>
      <c r="H34">
        <v>1470</v>
      </c>
      <c r="I34" t="s">
        <v>54</v>
      </c>
      <c r="J34" t="s">
        <v>55</v>
      </c>
      <c r="K34" t="s">
        <v>27</v>
      </c>
      <c r="L34">
        <v>1</v>
      </c>
    </row>
    <row r="35" spans="1:12" x14ac:dyDescent="0.25">
      <c r="A35">
        <v>32</v>
      </c>
      <c r="B35" s="1">
        <v>44228</v>
      </c>
      <c r="C35" t="s">
        <v>8</v>
      </c>
      <c r="D35" t="s">
        <v>12</v>
      </c>
      <c r="E35" t="s">
        <v>10</v>
      </c>
      <c r="F35">
        <v>7</v>
      </c>
      <c r="G35">
        <v>210</v>
      </c>
      <c r="H35">
        <v>1470</v>
      </c>
      <c r="I35" t="s">
        <v>54</v>
      </c>
      <c r="J35" t="s">
        <v>55</v>
      </c>
      <c r="K35" t="s">
        <v>28</v>
      </c>
      <c r="L35">
        <v>2</v>
      </c>
    </row>
    <row r="36" spans="1:12" x14ac:dyDescent="0.25">
      <c r="A36">
        <v>33</v>
      </c>
      <c r="B36" s="1">
        <v>44229</v>
      </c>
      <c r="C36" t="s">
        <v>8</v>
      </c>
      <c r="D36" t="s">
        <v>22</v>
      </c>
      <c r="E36" t="s">
        <v>10</v>
      </c>
      <c r="F36">
        <v>7</v>
      </c>
      <c r="G36">
        <v>210</v>
      </c>
      <c r="H36">
        <v>1470</v>
      </c>
      <c r="I36" t="s">
        <v>54</v>
      </c>
      <c r="J36" t="s">
        <v>55</v>
      </c>
      <c r="K36" t="s">
        <v>28</v>
      </c>
      <c r="L36">
        <v>2</v>
      </c>
    </row>
    <row r="37" spans="1:12" x14ac:dyDescent="0.25">
      <c r="A37">
        <v>34</v>
      </c>
      <c r="B37" s="1">
        <v>44230</v>
      </c>
      <c r="C37" t="s">
        <v>8</v>
      </c>
      <c r="D37" t="s">
        <v>23</v>
      </c>
      <c r="E37" t="s">
        <v>10</v>
      </c>
      <c r="F37">
        <v>7</v>
      </c>
      <c r="G37">
        <v>210</v>
      </c>
      <c r="H37">
        <v>1470</v>
      </c>
      <c r="I37" t="s">
        <v>54</v>
      </c>
      <c r="J37" t="s">
        <v>55</v>
      </c>
      <c r="K37" t="s">
        <v>28</v>
      </c>
      <c r="L37">
        <v>2</v>
      </c>
    </row>
    <row r="38" spans="1:12" x14ac:dyDescent="0.25">
      <c r="A38">
        <v>35</v>
      </c>
      <c r="B38" s="1">
        <v>44231</v>
      </c>
      <c r="C38" t="s">
        <v>11</v>
      </c>
      <c r="D38" t="s">
        <v>12</v>
      </c>
      <c r="E38" t="s">
        <v>10</v>
      </c>
      <c r="F38">
        <v>7</v>
      </c>
      <c r="G38">
        <v>210</v>
      </c>
      <c r="H38">
        <v>1470</v>
      </c>
      <c r="I38" t="s">
        <v>54</v>
      </c>
      <c r="J38" t="s">
        <v>55</v>
      </c>
      <c r="K38" t="s">
        <v>28</v>
      </c>
      <c r="L38">
        <v>2</v>
      </c>
    </row>
    <row r="39" spans="1:12" x14ac:dyDescent="0.25">
      <c r="A39">
        <v>36</v>
      </c>
      <c r="B39" s="1">
        <v>44232</v>
      </c>
      <c r="C39" t="s">
        <v>11</v>
      </c>
      <c r="D39" t="s">
        <v>9</v>
      </c>
      <c r="E39" t="s">
        <v>10</v>
      </c>
      <c r="F39">
        <v>7</v>
      </c>
      <c r="G39">
        <v>210</v>
      </c>
      <c r="H39">
        <v>1470</v>
      </c>
      <c r="I39" t="s">
        <v>54</v>
      </c>
      <c r="J39" t="s">
        <v>55</v>
      </c>
      <c r="K39" t="s">
        <v>28</v>
      </c>
      <c r="L39">
        <v>2</v>
      </c>
    </row>
    <row r="40" spans="1:12" x14ac:dyDescent="0.25">
      <c r="A40">
        <v>37</v>
      </c>
      <c r="B40" s="1">
        <v>44233</v>
      </c>
      <c r="C40" t="s">
        <v>11</v>
      </c>
      <c r="D40" t="s">
        <v>22</v>
      </c>
      <c r="E40" t="s">
        <v>21</v>
      </c>
      <c r="F40">
        <v>2</v>
      </c>
      <c r="G40">
        <v>190</v>
      </c>
      <c r="H40">
        <v>380</v>
      </c>
      <c r="I40" t="s">
        <v>54</v>
      </c>
      <c r="J40" t="s">
        <v>55</v>
      </c>
      <c r="K40" t="s">
        <v>28</v>
      </c>
      <c r="L40">
        <v>2</v>
      </c>
    </row>
    <row r="41" spans="1:12" x14ac:dyDescent="0.25">
      <c r="A41">
        <v>38</v>
      </c>
      <c r="B41" s="1">
        <v>44234</v>
      </c>
      <c r="C41" t="s">
        <v>11</v>
      </c>
      <c r="D41" t="s">
        <v>23</v>
      </c>
      <c r="E41" t="s">
        <v>10</v>
      </c>
      <c r="F41">
        <v>2</v>
      </c>
      <c r="G41">
        <v>210</v>
      </c>
      <c r="H41">
        <v>420</v>
      </c>
      <c r="I41" t="s">
        <v>54</v>
      </c>
      <c r="J41" t="s">
        <v>55</v>
      </c>
      <c r="K41" t="s">
        <v>28</v>
      </c>
      <c r="L41">
        <v>2</v>
      </c>
    </row>
    <row r="42" spans="1:12" x14ac:dyDescent="0.25">
      <c r="A42">
        <v>39</v>
      </c>
      <c r="B42" s="1">
        <v>44235</v>
      </c>
      <c r="C42" t="s">
        <v>11</v>
      </c>
      <c r="D42" t="s">
        <v>12</v>
      </c>
      <c r="E42" t="s">
        <v>13</v>
      </c>
      <c r="F42">
        <v>7</v>
      </c>
      <c r="G42">
        <v>2100</v>
      </c>
      <c r="H42">
        <v>14700</v>
      </c>
      <c r="I42" t="s">
        <v>54</v>
      </c>
      <c r="J42" t="s">
        <v>55</v>
      </c>
      <c r="K42" t="s">
        <v>28</v>
      </c>
      <c r="L42">
        <v>2</v>
      </c>
    </row>
    <row r="43" spans="1:12" x14ac:dyDescent="0.25">
      <c r="A43">
        <v>40</v>
      </c>
      <c r="B43" s="1">
        <v>44236</v>
      </c>
      <c r="C43" t="s">
        <v>11</v>
      </c>
      <c r="D43" t="s">
        <v>9</v>
      </c>
      <c r="E43" t="s">
        <v>15</v>
      </c>
      <c r="F43">
        <v>6</v>
      </c>
      <c r="G43">
        <v>1200</v>
      </c>
      <c r="H43">
        <v>7200</v>
      </c>
      <c r="I43" t="s">
        <v>54</v>
      </c>
      <c r="J43" t="s">
        <v>55</v>
      </c>
      <c r="K43" t="s">
        <v>28</v>
      </c>
      <c r="L43">
        <v>2</v>
      </c>
    </row>
    <row r="44" spans="1:12" x14ac:dyDescent="0.25">
      <c r="A44">
        <v>41</v>
      </c>
      <c r="B44" s="1">
        <v>44237</v>
      </c>
      <c r="C44" t="s">
        <v>11</v>
      </c>
      <c r="D44" t="s">
        <v>22</v>
      </c>
      <c r="E44" t="s">
        <v>13</v>
      </c>
      <c r="F44">
        <v>7</v>
      </c>
      <c r="G44">
        <v>2100</v>
      </c>
      <c r="H44">
        <v>14700</v>
      </c>
      <c r="I44" t="s">
        <v>54</v>
      </c>
      <c r="J44" t="s">
        <v>55</v>
      </c>
      <c r="K44" t="s">
        <v>28</v>
      </c>
      <c r="L44">
        <v>2</v>
      </c>
    </row>
    <row r="45" spans="1:12" x14ac:dyDescent="0.25">
      <c r="A45">
        <v>42</v>
      </c>
      <c r="B45" s="1">
        <v>44238</v>
      </c>
      <c r="C45" t="s">
        <v>11</v>
      </c>
      <c r="D45" t="s">
        <v>23</v>
      </c>
      <c r="E45" t="s">
        <v>13</v>
      </c>
      <c r="F45">
        <v>7</v>
      </c>
      <c r="G45">
        <v>2100</v>
      </c>
      <c r="H45">
        <v>14700</v>
      </c>
      <c r="I45" t="s">
        <v>54</v>
      </c>
      <c r="J45" t="s">
        <v>55</v>
      </c>
      <c r="K45" t="s">
        <v>28</v>
      </c>
      <c r="L45">
        <v>2</v>
      </c>
    </row>
    <row r="46" spans="1:12" x14ac:dyDescent="0.25">
      <c r="A46">
        <v>43</v>
      </c>
      <c r="B46" s="1">
        <v>44239</v>
      </c>
      <c r="C46" t="s">
        <v>14</v>
      </c>
      <c r="D46" t="s">
        <v>23</v>
      </c>
      <c r="E46" t="s">
        <v>13</v>
      </c>
      <c r="F46">
        <v>7</v>
      </c>
      <c r="G46">
        <v>2100</v>
      </c>
      <c r="H46">
        <v>14700</v>
      </c>
      <c r="I46" t="s">
        <v>54</v>
      </c>
      <c r="J46" t="s">
        <v>55</v>
      </c>
      <c r="K46" t="s">
        <v>28</v>
      </c>
      <c r="L46">
        <v>2</v>
      </c>
    </row>
    <row r="47" spans="1:12" x14ac:dyDescent="0.25">
      <c r="A47">
        <v>44</v>
      </c>
      <c r="B47" s="1">
        <v>44240</v>
      </c>
      <c r="C47" t="s">
        <v>16</v>
      </c>
      <c r="D47" t="s">
        <v>23</v>
      </c>
      <c r="E47" t="s">
        <v>13</v>
      </c>
      <c r="F47">
        <v>7</v>
      </c>
      <c r="G47">
        <v>2100</v>
      </c>
      <c r="H47">
        <v>14700</v>
      </c>
      <c r="I47" t="s">
        <v>54</v>
      </c>
      <c r="J47" t="s">
        <v>55</v>
      </c>
      <c r="K47" t="s">
        <v>28</v>
      </c>
      <c r="L47">
        <v>2</v>
      </c>
    </row>
    <row r="48" spans="1:12" x14ac:dyDescent="0.25">
      <c r="A48">
        <v>45</v>
      </c>
      <c r="B48" s="1">
        <v>44241</v>
      </c>
      <c r="C48" t="s">
        <v>18</v>
      </c>
      <c r="D48" t="s">
        <v>23</v>
      </c>
      <c r="E48" t="s">
        <v>13</v>
      </c>
      <c r="F48">
        <v>7</v>
      </c>
      <c r="G48">
        <v>2100</v>
      </c>
      <c r="H48">
        <v>14700</v>
      </c>
      <c r="I48" t="s">
        <v>54</v>
      </c>
      <c r="J48" t="s">
        <v>55</v>
      </c>
      <c r="K48" t="s">
        <v>28</v>
      </c>
      <c r="L48">
        <v>2</v>
      </c>
    </row>
    <row r="49" spans="1:12" x14ac:dyDescent="0.25">
      <c r="A49">
        <v>46</v>
      </c>
      <c r="B49" s="1">
        <v>44242</v>
      </c>
      <c r="C49" t="s">
        <v>20</v>
      </c>
      <c r="D49" t="s">
        <v>23</v>
      </c>
      <c r="E49" t="s">
        <v>13</v>
      </c>
      <c r="F49">
        <v>7</v>
      </c>
      <c r="G49">
        <v>2100</v>
      </c>
      <c r="H49">
        <v>14700</v>
      </c>
      <c r="I49" t="s">
        <v>54</v>
      </c>
      <c r="J49" t="s">
        <v>55</v>
      </c>
      <c r="K49" t="s">
        <v>28</v>
      </c>
      <c r="L49">
        <v>2</v>
      </c>
    </row>
    <row r="50" spans="1:12" x14ac:dyDescent="0.25">
      <c r="A50">
        <v>47</v>
      </c>
      <c r="B50" s="1">
        <v>44243</v>
      </c>
      <c r="C50" t="s">
        <v>20</v>
      </c>
      <c r="D50" t="s">
        <v>9</v>
      </c>
      <c r="E50" t="s">
        <v>13</v>
      </c>
      <c r="F50">
        <v>7</v>
      </c>
      <c r="G50">
        <v>2100</v>
      </c>
      <c r="H50">
        <v>14700</v>
      </c>
      <c r="I50" t="s">
        <v>54</v>
      </c>
      <c r="J50" t="s">
        <v>55</v>
      </c>
      <c r="K50" t="s">
        <v>28</v>
      </c>
      <c r="L50">
        <v>2</v>
      </c>
    </row>
    <row r="51" spans="1:12" x14ac:dyDescent="0.25">
      <c r="A51">
        <v>48</v>
      </c>
      <c r="B51" s="1">
        <v>44244</v>
      </c>
      <c r="C51" t="s">
        <v>20</v>
      </c>
      <c r="D51" t="s">
        <v>12</v>
      </c>
      <c r="E51" t="s">
        <v>13</v>
      </c>
      <c r="F51">
        <v>7</v>
      </c>
      <c r="G51">
        <v>2100</v>
      </c>
      <c r="H51">
        <v>14700</v>
      </c>
      <c r="I51" t="s">
        <v>54</v>
      </c>
      <c r="J51" t="s">
        <v>55</v>
      </c>
      <c r="K51" t="s">
        <v>28</v>
      </c>
      <c r="L51">
        <v>2</v>
      </c>
    </row>
    <row r="52" spans="1:12" x14ac:dyDescent="0.25">
      <c r="A52">
        <v>49</v>
      </c>
      <c r="B52" s="1">
        <v>44245</v>
      </c>
      <c r="C52" t="s">
        <v>20</v>
      </c>
      <c r="D52" t="s">
        <v>22</v>
      </c>
      <c r="E52" t="s">
        <v>13</v>
      </c>
      <c r="F52">
        <v>7</v>
      </c>
      <c r="G52">
        <v>2100</v>
      </c>
      <c r="H52">
        <v>14700</v>
      </c>
      <c r="I52" t="s">
        <v>54</v>
      </c>
      <c r="J52" t="s">
        <v>55</v>
      </c>
      <c r="K52" t="s">
        <v>28</v>
      </c>
      <c r="L52">
        <v>2</v>
      </c>
    </row>
    <row r="53" spans="1:12" x14ac:dyDescent="0.25">
      <c r="A53">
        <v>50</v>
      </c>
      <c r="B53" s="1">
        <v>44246</v>
      </c>
      <c r="C53" t="s">
        <v>20</v>
      </c>
      <c r="D53" t="s">
        <v>23</v>
      </c>
      <c r="E53" t="s">
        <v>13</v>
      </c>
      <c r="F53">
        <v>7</v>
      </c>
      <c r="G53">
        <v>2100</v>
      </c>
      <c r="H53">
        <v>14700</v>
      </c>
      <c r="I53" t="s">
        <v>54</v>
      </c>
      <c r="J53" t="s">
        <v>55</v>
      </c>
      <c r="K53" t="s">
        <v>28</v>
      </c>
      <c r="L53">
        <v>2</v>
      </c>
    </row>
    <row r="54" spans="1:12" x14ac:dyDescent="0.25">
      <c r="A54">
        <v>51</v>
      </c>
      <c r="B54" s="1">
        <v>44247</v>
      </c>
      <c r="C54" t="s">
        <v>20</v>
      </c>
      <c r="D54" t="s">
        <v>9</v>
      </c>
      <c r="E54" t="s">
        <v>10</v>
      </c>
      <c r="F54">
        <v>7</v>
      </c>
      <c r="G54">
        <v>210</v>
      </c>
      <c r="H54">
        <v>1470</v>
      </c>
      <c r="I54" t="s">
        <v>54</v>
      </c>
      <c r="J54" t="s">
        <v>55</v>
      </c>
      <c r="K54" t="s">
        <v>28</v>
      </c>
      <c r="L54">
        <v>2</v>
      </c>
    </row>
    <row r="55" spans="1:12" x14ac:dyDescent="0.25">
      <c r="A55">
        <v>52</v>
      </c>
      <c r="B55" s="1">
        <v>44248</v>
      </c>
      <c r="C55" t="s">
        <v>20</v>
      </c>
      <c r="D55" t="s">
        <v>12</v>
      </c>
      <c r="E55" t="s">
        <v>13</v>
      </c>
      <c r="F55">
        <v>6</v>
      </c>
      <c r="G55">
        <v>2100</v>
      </c>
      <c r="H55">
        <v>12600</v>
      </c>
      <c r="I55" t="s">
        <v>54</v>
      </c>
      <c r="J55" t="s">
        <v>55</v>
      </c>
      <c r="K55" t="s">
        <v>28</v>
      </c>
      <c r="L55">
        <v>2</v>
      </c>
    </row>
    <row r="56" spans="1:12" x14ac:dyDescent="0.25">
      <c r="A56">
        <v>53</v>
      </c>
      <c r="B56" s="1">
        <v>44249</v>
      </c>
      <c r="C56" t="s">
        <v>20</v>
      </c>
      <c r="D56" t="s">
        <v>22</v>
      </c>
      <c r="E56" t="s">
        <v>15</v>
      </c>
      <c r="F56">
        <v>5</v>
      </c>
      <c r="G56">
        <v>1200</v>
      </c>
      <c r="H56">
        <v>6000</v>
      </c>
      <c r="I56" t="s">
        <v>54</v>
      </c>
      <c r="J56" t="s">
        <v>55</v>
      </c>
      <c r="K56" t="s">
        <v>28</v>
      </c>
      <c r="L56">
        <v>2</v>
      </c>
    </row>
    <row r="57" spans="1:12" x14ac:dyDescent="0.25">
      <c r="A57">
        <v>54</v>
      </c>
      <c r="B57" s="1">
        <v>44250</v>
      </c>
      <c r="C57" t="s">
        <v>20</v>
      </c>
      <c r="D57" t="s">
        <v>23</v>
      </c>
      <c r="E57" t="s">
        <v>17</v>
      </c>
      <c r="F57">
        <v>4</v>
      </c>
      <c r="G57">
        <v>1500</v>
      </c>
      <c r="H57">
        <v>6000</v>
      </c>
      <c r="I57" t="s">
        <v>54</v>
      </c>
      <c r="J57" t="s">
        <v>55</v>
      </c>
      <c r="K57" t="s">
        <v>28</v>
      </c>
      <c r="L57">
        <v>2</v>
      </c>
    </row>
    <row r="58" spans="1:12" x14ac:dyDescent="0.25">
      <c r="A58">
        <v>55</v>
      </c>
      <c r="B58" s="1">
        <v>44251</v>
      </c>
      <c r="C58" t="s">
        <v>8</v>
      </c>
      <c r="D58" t="s">
        <v>9</v>
      </c>
      <c r="E58" t="s">
        <v>19</v>
      </c>
      <c r="F58">
        <v>3</v>
      </c>
      <c r="G58">
        <v>300</v>
      </c>
      <c r="H58">
        <v>900</v>
      </c>
      <c r="I58" t="s">
        <v>54</v>
      </c>
      <c r="J58" t="s">
        <v>55</v>
      </c>
      <c r="K58" t="s">
        <v>28</v>
      </c>
      <c r="L58">
        <v>2</v>
      </c>
    </row>
    <row r="59" spans="1:12" x14ac:dyDescent="0.25">
      <c r="A59">
        <v>56</v>
      </c>
      <c r="B59" s="1">
        <v>44252</v>
      </c>
      <c r="C59" t="s">
        <v>11</v>
      </c>
      <c r="D59" t="s">
        <v>12</v>
      </c>
      <c r="E59" t="s">
        <v>21</v>
      </c>
      <c r="F59">
        <v>2</v>
      </c>
      <c r="G59">
        <v>190</v>
      </c>
      <c r="H59">
        <v>380</v>
      </c>
      <c r="I59" t="s">
        <v>54</v>
      </c>
      <c r="J59" t="s">
        <v>55</v>
      </c>
      <c r="K59" t="s">
        <v>28</v>
      </c>
      <c r="L59">
        <v>2</v>
      </c>
    </row>
    <row r="60" spans="1:12" x14ac:dyDescent="0.25">
      <c r="A60">
        <v>57</v>
      </c>
      <c r="B60" s="1">
        <v>44253</v>
      </c>
      <c r="C60" t="s">
        <v>14</v>
      </c>
      <c r="D60" t="s">
        <v>9</v>
      </c>
      <c r="E60" t="s">
        <v>10</v>
      </c>
      <c r="F60">
        <v>7</v>
      </c>
      <c r="G60">
        <v>210</v>
      </c>
      <c r="H60">
        <v>1470</v>
      </c>
      <c r="I60" t="s">
        <v>54</v>
      </c>
      <c r="J60" t="s">
        <v>55</v>
      </c>
      <c r="K60" t="s">
        <v>28</v>
      </c>
      <c r="L60">
        <v>2</v>
      </c>
    </row>
    <row r="61" spans="1:12" x14ac:dyDescent="0.25">
      <c r="A61">
        <v>58</v>
      </c>
      <c r="B61" s="1">
        <v>44254</v>
      </c>
      <c r="C61" t="s">
        <v>16</v>
      </c>
      <c r="D61" t="s">
        <v>12</v>
      </c>
      <c r="E61" t="s">
        <v>13</v>
      </c>
      <c r="F61">
        <v>6</v>
      </c>
      <c r="G61">
        <v>2100</v>
      </c>
      <c r="H61">
        <v>12600</v>
      </c>
      <c r="I61" t="s">
        <v>54</v>
      </c>
      <c r="J61" t="s">
        <v>55</v>
      </c>
      <c r="K61" t="s">
        <v>28</v>
      </c>
      <c r="L61">
        <v>2</v>
      </c>
    </row>
    <row r="62" spans="1:12" x14ac:dyDescent="0.25">
      <c r="A62">
        <v>59</v>
      </c>
      <c r="B62" s="1">
        <v>44255</v>
      </c>
      <c r="C62" t="s">
        <v>18</v>
      </c>
      <c r="D62" t="s">
        <v>9</v>
      </c>
      <c r="E62" t="s">
        <v>15</v>
      </c>
      <c r="F62">
        <v>5</v>
      </c>
      <c r="G62">
        <v>1200</v>
      </c>
      <c r="H62">
        <v>6000</v>
      </c>
      <c r="I62" t="s">
        <v>54</v>
      </c>
      <c r="J62" t="s">
        <v>55</v>
      </c>
      <c r="K62" t="s">
        <v>28</v>
      </c>
      <c r="L62">
        <v>2</v>
      </c>
    </row>
    <row r="63" spans="1:12" x14ac:dyDescent="0.25">
      <c r="A63">
        <v>60</v>
      </c>
      <c r="B63" s="1">
        <v>44256</v>
      </c>
      <c r="C63" t="s">
        <v>20</v>
      </c>
      <c r="D63" t="s">
        <v>9</v>
      </c>
      <c r="E63" t="s">
        <v>17</v>
      </c>
      <c r="F63">
        <v>4</v>
      </c>
      <c r="G63">
        <v>1500</v>
      </c>
      <c r="H63">
        <v>6000</v>
      </c>
      <c r="I63" t="s">
        <v>54</v>
      </c>
      <c r="J63" t="s">
        <v>55</v>
      </c>
      <c r="K63" t="s">
        <v>29</v>
      </c>
      <c r="L63">
        <v>3</v>
      </c>
    </row>
    <row r="64" spans="1:12" x14ac:dyDescent="0.25">
      <c r="A64">
        <v>61</v>
      </c>
      <c r="B64" s="1">
        <v>44257</v>
      </c>
      <c r="C64" t="s">
        <v>8</v>
      </c>
      <c r="D64" t="s">
        <v>9</v>
      </c>
      <c r="E64" t="s">
        <v>19</v>
      </c>
      <c r="F64">
        <v>3</v>
      </c>
      <c r="G64">
        <v>300</v>
      </c>
      <c r="H64">
        <v>900</v>
      </c>
      <c r="I64" t="s">
        <v>54</v>
      </c>
      <c r="J64" t="s">
        <v>55</v>
      </c>
      <c r="K64" t="s">
        <v>29</v>
      </c>
      <c r="L64">
        <v>3</v>
      </c>
    </row>
    <row r="65" spans="1:12" x14ac:dyDescent="0.25">
      <c r="A65">
        <v>62</v>
      </c>
      <c r="B65" s="1">
        <v>44258</v>
      </c>
      <c r="C65" t="s">
        <v>11</v>
      </c>
      <c r="D65" t="s">
        <v>12</v>
      </c>
      <c r="E65" t="s">
        <v>21</v>
      </c>
      <c r="F65">
        <v>2</v>
      </c>
      <c r="G65">
        <v>190</v>
      </c>
      <c r="H65">
        <v>380</v>
      </c>
      <c r="I65" t="s">
        <v>54</v>
      </c>
      <c r="J65" t="s">
        <v>55</v>
      </c>
      <c r="K65" t="s">
        <v>29</v>
      </c>
      <c r="L65">
        <v>3</v>
      </c>
    </row>
    <row r="66" spans="1:12" x14ac:dyDescent="0.25">
      <c r="A66">
        <v>63</v>
      </c>
      <c r="B66" s="1">
        <v>44259</v>
      </c>
      <c r="C66" t="s">
        <v>14</v>
      </c>
      <c r="D66" t="s">
        <v>12</v>
      </c>
      <c r="E66" t="s">
        <v>10</v>
      </c>
      <c r="F66">
        <v>2</v>
      </c>
      <c r="G66">
        <v>210</v>
      </c>
      <c r="H66">
        <v>420</v>
      </c>
      <c r="I66" t="s">
        <v>54</v>
      </c>
      <c r="J66" t="s">
        <v>55</v>
      </c>
      <c r="K66" t="s">
        <v>29</v>
      </c>
      <c r="L66">
        <v>3</v>
      </c>
    </row>
    <row r="67" spans="1:12" x14ac:dyDescent="0.25">
      <c r="A67">
        <v>64</v>
      </c>
      <c r="B67" s="1">
        <v>44260</v>
      </c>
      <c r="C67" t="s">
        <v>16</v>
      </c>
      <c r="D67" t="s">
        <v>9</v>
      </c>
      <c r="E67" t="s">
        <v>13</v>
      </c>
      <c r="F67">
        <v>7</v>
      </c>
      <c r="G67">
        <v>2100</v>
      </c>
      <c r="H67">
        <v>14700</v>
      </c>
      <c r="I67" t="s">
        <v>54</v>
      </c>
      <c r="J67" t="s">
        <v>55</v>
      </c>
      <c r="K67" t="s">
        <v>29</v>
      </c>
      <c r="L67">
        <v>3</v>
      </c>
    </row>
    <row r="68" spans="1:12" x14ac:dyDescent="0.25">
      <c r="A68">
        <v>65</v>
      </c>
      <c r="B68" s="1">
        <v>44261</v>
      </c>
      <c r="C68" t="s">
        <v>18</v>
      </c>
      <c r="D68" t="s">
        <v>9</v>
      </c>
      <c r="E68" t="s">
        <v>15</v>
      </c>
      <c r="F68">
        <v>6</v>
      </c>
      <c r="G68">
        <v>1200</v>
      </c>
      <c r="H68">
        <v>7200</v>
      </c>
      <c r="I68" t="s">
        <v>54</v>
      </c>
      <c r="J68" t="s">
        <v>55</v>
      </c>
      <c r="K68" t="s">
        <v>29</v>
      </c>
      <c r="L68">
        <v>3</v>
      </c>
    </row>
    <row r="69" spans="1:12" x14ac:dyDescent="0.25">
      <c r="A69">
        <v>66</v>
      </c>
      <c r="B69" s="1">
        <v>44262</v>
      </c>
      <c r="C69" t="s">
        <v>20</v>
      </c>
      <c r="D69" t="s">
        <v>12</v>
      </c>
      <c r="E69" t="s">
        <v>17</v>
      </c>
      <c r="F69">
        <v>5</v>
      </c>
      <c r="G69">
        <v>1500</v>
      </c>
      <c r="H69">
        <v>7500</v>
      </c>
      <c r="I69" t="s">
        <v>54</v>
      </c>
      <c r="J69" t="s">
        <v>55</v>
      </c>
      <c r="K69" t="s">
        <v>29</v>
      </c>
      <c r="L69">
        <v>3</v>
      </c>
    </row>
    <row r="70" spans="1:12" x14ac:dyDescent="0.25">
      <c r="A70">
        <v>67</v>
      </c>
      <c r="B70" s="1">
        <v>44263</v>
      </c>
      <c r="C70" t="s">
        <v>20</v>
      </c>
      <c r="D70" t="s">
        <v>9</v>
      </c>
      <c r="E70" t="s">
        <v>19</v>
      </c>
      <c r="F70">
        <v>4</v>
      </c>
      <c r="G70">
        <v>300</v>
      </c>
      <c r="H70">
        <v>1200</v>
      </c>
      <c r="I70" t="s">
        <v>54</v>
      </c>
      <c r="J70" t="s">
        <v>55</v>
      </c>
      <c r="K70" t="s">
        <v>29</v>
      </c>
      <c r="L70">
        <v>3</v>
      </c>
    </row>
    <row r="71" spans="1:12" x14ac:dyDescent="0.25">
      <c r="A71">
        <v>68</v>
      </c>
      <c r="B71" s="1">
        <v>44264</v>
      </c>
      <c r="C71" t="s">
        <v>8</v>
      </c>
      <c r="D71" t="s">
        <v>9</v>
      </c>
      <c r="E71" t="s">
        <v>21</v>
      </c>
      <c r="F71">
        <v>3</v>
      </c>
      <c r="G71">
        <v>190</v>
      </c>
      <c r="H71">
        <v>570</v>
      </c>
      <c r="I71" t="s">
        <v>54</v>
      </c>
      <c r="J71" t="s">
        <v>55</v>
      </c>
      <c r="K71" t="s">
        <v>29</v>
      </c>
      <c r="L71">
        <v>3</v>
      </c>
    </row>
    <row r="72" spans="1:12" x14ac:dyDescent="0.25">
      <c r="A72">
        <v>69</v>
      </c>
      <c r="B72" s="1">
        <v>44265</v>
      </c>
      <c r="C72" t="s">
        <v>11</v>
      </c>
      <c r="D72" t="s">
        <v>9</v>
      </c>
      <c r="E72" t="s">
        <v>10</v>
      </c>
      <c r="F72">
        <v>2</v>
      </c>
      <c r="G72">
        <v>210</v>
      </c>
      <c r="H72">
        <v>420</v>
      </c>
      <c r="I72" t="s">
        <v>54</v>
      </c>
      <c r="J72" t="s">
        <v>55</v>
      </c>
      <c r="K72" t="s">
        <v>29</v>
      </c>
      <c r="L72">
        <v>3</v>
      </c>
    </row>
    <row r="73" spans="1:12" x14ac:dyDescent="0.25">
      <c r="A73">
        <v>70</v>
      </c>
      <c r="B73" s="1">
        <v>44266</v>
      </c>
      <c r="C73" t="s">
        <v>14</v>
      </c>
      <c r="D73" t="s">
        <v>9</v>
      </c>
      <c r="E73" t="s">
        <v>21</v>
      </c>
      <c r="F73">
        <v>3</v>
      </c>
      <c r="G73">
        <v>190</v>
      </c>
      <c r="H73">
        <v>570</v>
      </c>
      <c r="I73" t="s">
        <v>54</v>
      </c>
      <c r="J73" t="s">
        <v>55</v>
      </c>
      <c r="K73" t="s">
        <v>29</v>
      </c>
      <c r="L73">
        <v>3</v>
      </c>
    </row>
    <row r="74" spans="1:12" x14ac:dyDescent="0.25">
      <c r="A74">
        <v>71</v>
      </c>
      <c r="B74" s="1">
        <v>44267</v>
      </c>
      <c r="C74" t="s">
        <v>16</v>
      </c>
      <c r="D74" t="s">
        <v>9</v>
      </c>
      <c r="E74" t="s">
        <v>10</v>
      </c>
      <c r="F74">
        <v>2</v>
      </c>
      <c r="G74">
        <v>210</v>
      </c>
      <c r="H74">
        <v>420</v>
      </c>
      <c r="I74" t="s">
        <v>54</v>
      </c>
      <c r="J74" t="s">
        <v>55</v>
      </c>
      <c r="K74" t="s">
        <v>29</v>
      </c>
      <c r="L74">
        <v>3</v>
      </c>
    </row>
    <row r="75" spans="1:12" x14ac:dyDescent="0.25">
      <c r="A75">
        <v>72</v>
      </c>
      <c r="B75" s="1">
        <v>44268</v>
      </c>
      <c r="C75" t="s">
        <v>18</v>
      </c>
      <c r="D75" t="s">
        <v>9</v>
      </c>
      <c r="E75" t="s">
        <v>21</v>
      </c>
      <c r="F75">
        <v>3</v>
      </c>
      <c r="G75">
        <v>190</v>
      </c>
      <c r="H75">
        <v>570</v>
      </c>
      <c r="I75" t="s">
        <v>54</v>
      </c>
      <c r="J75" t="s">
        <v>55</v>
      </c>
      <c r="K75" t="s">
        <v>29</v>
      </c>
      <c r="L75">
        <v>3</v>
      </c>
    </row>
    <row r="76" spans="1:12" x14ac:dyDescent="0.25">
      <c r="A76">
        <v>73</v>
      </c>
      <c r="B76" s="1">
        <v>44269</v>
      </c>
      <c r="C76" t="s">
        <v>20</v>
      </c>
      <c r="D76" t="s">
        <v>9</v>
      </c>
      <c r="E76" t="s">
        <v>10</v>
      </c>
      <c r="F76">
        <v>2</v>
      </c>
      <c r="G76">
        <v>210</v>
      </c>
      <c r="H76">
        <v>420</v>
      </c>
      <c r="I76" t="s">
        <v>54</v>
      </c>
      <c r="J76" t="s">
        <v>55</v>
      </c>
      <c r="K76" t="s">
        <v>29</v>
      </c>
      <c r="L76">
        <v>3</v>
      </c>
    </row>
    <row r="77" spans="1:12" x14ac:dyDescent="0.25">
      <c r="A77">
        <v>74</v>
      </c>
      <c r="B77" s="1">
        <v>44270</v>
      </c>
      <c r="C77" t="s">
        <v>8</v>
      </c>
      <c r="D77" t="s">
        <v>9</v>
      </c>
      <c r="E77" t="s">
        <v>21</v>
      </c>
      <c r="F77">
        <v>3</v>
      </c>
      <c r="G77">
        <v>190</v>
      </c>
      <c r="H77">
        <v>570</v>
      </c>
      <c r="I77" t="s">
        <v>54</v>
      </c>
      <c r="J77" t="s">
        <v>55</v>
      </c>
      <c r="K77" t="s">
        <v>29</v>
      </c>
      <c r="L77">
        <v>3</v>
      </c>
    </row>
    <row r="78" spans="1:12" x14ac:dyDescent="0.25">
      <c r="A78">
        <v>75</v>
      </c>
      <c r="B78" s="1">
        <v>44271</v>
      </c>
      <c r="C78" t="s">
        <v>11</v>
      </c>
      <c r="D78" t="s">
        <v>12</v>
      </c>
      <c r="E78" t="s">
        <v>10</v>
      </c>
      <c r="F78">
        <v>2</v>
      </c>
      <c r="G78">
        <v>210</v>
      </c>
      <c r="H78">
        <v>420</v>
      </c>
      <c r="I78" t="s">
        <v>54</v>
      </c>
      <c r="J78" t="s">
        <v>55</v>
      </c>
      <c r="K78" t="s">
        <v>29</v>
      </c>
      <c r="L78">
        <v>3</v>
      </c>
    </row>
    <row r="79" spans="1:12" x14ac:dyDescent="0.25">
      <c r="A79">
        <v>76</v>
      </c>
      <c r="B79" s="1">
        <v>44272</v>
      </c>
      <c r="C79" t="s">
        <v>14</v>
      </c>
      <c r="D79" t="s">
        <v>9</v>
      </c>
      <c r="E79" t="s">
        <v>21</v>
      </c>
      <c r="F79">
        <v>3</v>
      </c>
      <c r="G79">
        <v>190</v>
      </c>
      <c r="H79">
        <v>570</v>
      </c>
      <c r="I79" t="s">
        <v>54</v>
      </c>
      <c r="J79" t="s">
        <v>55</v>
      </c>
      <c r="K79" t="s">
        <v>29</v>
      </c>
      <c r="L79">
        <v>3</v>
      </c>
    </row>
    <row r="80" spans="1:12" x14ac:dyDescent="0.25">
      <c r="A80">
        <v>77</v>
      </c>
      <c r="B80" s="1">
        <v>44273</v>
      </c>
      <c r="C80" t="s">
        <v>16</v>
      </c>
      <c r="D80" t="s">
        <v>12</v>
      </c>
      <c r="E80" t="s">
        <v>10</v>
      </c>
      <c r="F80">
        <v>2</v>
      </c>
      <c r="G80">
        <v>210</v>
      </c>
      <c r="H80">
        <v>420</v>
      </c>
      <c r="I80" t="s">
        <v>54</v>
      </c>
      <c r="J80" t="s">
        <v>55</v>
      </c>
      <c r="K80" t="s">
        <v>29</v>
      </c>
      <c r="L80">
        <v>3</v>
      </c>
    </row>
    <row r="81" spans="1:12" x14ac:dyDescent="0.25">
      <c r="A81">
        <v>78</v>
      </c>
      <c r="B81" s="1">
        <v>44274</v>
      </c>
      <c r="C81" t="s">
        <v>18</v>
      </c>
      <c r="D81" t="s">
        <v>9</v>
      </c>
      <c r="E81" t="s">
        <v>15</v>
      </c>
      <c r="F81">
        <v>5</v>
      </c>
      <c r="G81">
        <v>1200</v>
      </c>
      <c r="H81">
        <v>6000</v>
      </c>
      <c r="I81" t="s">
        <v>54</v>
      </c>
      <c r="J81" t="s">
        <v>55</v>
      </c>
      <c r="K81" t="s">
        <v>29</v>
      </c>
      <c r="L81">
        <v>3</v>
      </c>
    </row>
    <row r="82" spans="1:12" x14ac:dyDescent="0.25">
      <c r="A82">
        <v>79</v>
      </c>
      <c r="B82" s="1">
        <v>44275</v>
      </c>
      <c r="C82" t="s">
        <v>20</v>
      </c>
      <c r="D82" t="s">
        <v>9</v>
      </c>
      <c r="E82" t="s">
        <v>17</v>
      </c>
      <c r="F82">
        <v>4</v>
      </c>
      <c r="G82">
        <v>1500</v>
      </c>
      <c r="H82">
        <v>6000</v>
      </c>
      <c r="I82" t="s">
        <v>54</v>
      </c>
      <c r="J82" t="s">
        <v>55</v>
      </c>
      <c r="K82" t="s">
        <v>29</v>
      </c>
      <c r="L82">
        <v>3</v>
      </c>
    </row>
    <row r="83" spans="1:12" x14ac:dyDescent="0.25">
      <c r="A83">
        <v>80</v>
      </c>
      <c r="B83" s="1">
        <v>44276</v>
      </c>
      <c r="C83" t="s">
        <v>20</v>
      </c>
      <c r="D83" t="s">
        <v>9</v>
      </c>
      <c r="E83" t="s">
        <v>19</v>
      </c>
      <c r="F83">
        <v>3</v>
      </c>
      <c r="G83">
        <v>300</v>
      </c>
      <c r="H83">
        <v>900</v>
      </c>
      <c r="I83" t="s">
        <v>54</v>
      </c>
      <c r="J83" t="s">
        <v>55</v>
      </c>
      <c r="K83" t="s">
        <v>29</v>
      </c>
      <c r="L83">
        <v>3</v>
      </c>
    </row>
    <row r="84" spans="1:12" x14ac:dyDescent="0.25">
      <c r="A84">
        <v>81</v>
      </c>
      <c r="B84" s="1">
        <v>44277</v>
      </c>
      <c r="C84" t="s">
        <v>8</v>
      </c>
      <c r="D84" t="s">
        <v>9</v>
      </c>
      <c r="E84" t="s">
        <v>21</v>
      </c>
      <c r="F84">
        <v>2</v>
      </c>
      <c r="G84">
        <v>190</v>
      </c>
      <c r="H84">
        <v>380</v>
      </c>
      <c r="I84" t="s">
        <v>54</v>
      </c>
      <c r="J84" t="s">
        <v>55</v>
      </c>
      <c r="K84" t="s">
        <v>29</v>
      </c>
      <c r="L84">
        <v>3</v>
      </c>
    </row>
    <row r="85" spans="1:12" x14ac:dyDescent="0.25">
      <c r="A85">
        <v>82</v>
      </c>
      <c r="B85" s="1">
        <v>44278</v>
      </c>
      <c r="C85" t="s">
        <v>8</v>
      </c>
      <c r="D85" t="s">
        <v>12</v>
      </c>
      <c r="E85" t="s">
        <v>10</v>
      </c>
      <c r="F85">
        <v>7</v>
      </c>
      <c r="G85">
        <v>210</v>
      </c>
      <c r="H85">
        <v>1470</v>
      </c>
      <c r="I85" t="s">
        <v>54</v>
      </c>
      <c r="J85" t="s">
        <v>55</v>
      </c>
      <c r="K85" t="s">
        <v>29</v>
      </c>
      <c r="L85">
        <v>3</v>
      </c>
    </row>
    <row r="86" spans="1:12" x14ac:dyDescent="0.25">
      <c r="A86">
        <v>83</v>
      </c>
      <c r="B86" s="1">
        <v>44279</v>
      </c>
      <c r="C86" t="s">
        <v>8</v>
      </c>
      <c r="D86" t="s">
        <v>22</v>
      </c>
      <c r="E86" t="s">
        <v>13</v>
      </c>
      <c r="F86">
        <v>6</v>
      </c>
      <c r="G86">
        <v>2100</v>
      </c>
      <c r="H86">
        <v>12600</v>
      </c>
      <c r="I86" t="s">
        <v>54</v>
      </c>
      <c r="J86" t="s">
        <v>55</v>
      </c>
      <c r="K86" t="s">
        <v>29</v>
      </c>
      <c r="L86">
        <v>3</v>
      </c>
    </row>
    <row r="87" spans="1:12" x14ac:dyDescent="0.25">
      <c r="A87">
        <v>84</v>
      </c>
      <c r="B87" s="1">
        <v>44280</v>
      </c>
      <c r="C87" t="s">
        <v>8</v>
      </c>
      <c r="D87" t="s">
        <v>23</v>
      </c>
      <c r="E87" t="s">
        <v>15</v>
      </c>
      <c r="F87">
        <v>5</v>
      </c>
      <c r="G87">
        <v>1200</v>
      </c>
      <c r="H87">
        <v>6000</v>
      </c>
      <c r="I87" t="s">
        <v>54</v>
      </c>
      <c r="J87" t="s">
        <v>55</v>
      </c>
      <c r="K87" t="s">
        <v>29</v>
      </c>
      <c r="L87">
        <v>3</v>
      </c>
    </row>
    <row r="88" spans="1:12" x14ac:dyDescent="0.25">
      <c r="A88">
        <v>85</v>
      </c>
      <c r="B88" s="1">
        <v>44281</v>
      </c>
      <c r="C88" t="s">
        <v>8</v>
      </c>
      <c r="D88" t="s">
        <v>9</v>
      </c>
      <c r="E88" t="s">
        <v>17</v>
      </c>
      <c r="F88">
        <v>4</v>
      </c>
      <c r="G88">
        <v>1500</v>
      </c>
      <c r="H88">
        <v>6000</v>
      </c>
      <c r="I88" t="s">
        <v>54</v>
      </c>
      <c r="J88" t="s">
        <v>55</v>
      </c>
      <c r="K88" t="s">
        <v>29</v>
      </c>
      <c r="L88">
        <v>3</v>
      </c>
    </row>
    <row r="89" spans="1:12" x14ac:dyDescent="0.25">
      <c r="A89">
        <v>86</v>
      </c>
      <c r="B89" s="1">
        <v>44282</v>
      </c>
      <c r="C89" t="s">
        <v>8</v>
      </c>
      <c r="D89" t="s">
        <v>12</v>
      </c>
      <c r="E89" t="s">
        <v>19</v>
      </c>
      <c r="F89">
        <v>3</v>
      </c>
      <c r="G89">
        <v>300</v>
      </c>
      <c r="H89">
        <v>900</v>
      </c>
      <c r="I89" t="s">
        <v>54</v>
      </c>
      <c r="J89" t="s">
        <v>55</v>
      </c>
      <c r="K89" t="s">
        <v>29</v>
      </c>
      <c r="L89">
        <v>3</v>
      </c>
    </row>
    <row r="90" spans="1:12" x14ac:dyDescent="0.25">
      <c r="A90">
        <v>87</v>
      </c>
      <c r="B90" s="1">
        <v>44283</v>
      </c>
      <c r="C90" t="s">
        <v>8</v>
      </c>
      <c r="D90" t="s">
        <v>22</v>
      </c>
      <c r="E90" t="s">
        <v>21</v>
      </c>
      <c r="F90">
        <v>2</v>
      </c>
      <c r="G90">
        <v>190</v>
      </c>
      <c r="H90">
        <v>380</v>
      </c>
      <c r="I90" t="s">
        <v>54</v>
      </c>
      <c r="J90" t="s">
        <v>55</v>
      </c>
      <c r="K90" t="s">
        <v>29</v>
      </c>
      <c r="L90">
        <v>3</v>
      </c>
    </row>
    <row r="91" spans="1:12" x14ac:dyDescent="0.25">
      <c r="A91">
        <v>88</v>
      </c>
      <c r="B91" s="1">
        <v>44284</v>
      </c>
      <c r="C91" t="s">
        <v>8</v>
      </c>
      <c r="D91" t="s">
        <v>23</v>
      </c>
      <c r="E91" t="s">
        <v>10</v>
      </c>
      <c r="F91">
        <v>2</v>
      </c>
      <c r="G91">
        <v>210</v>
      </c>
      <c r="H91">
        <v>420</v>
      </c>
      <c r="I91" t="s">
        <v>54</v>
      </c>
      <c r="J91" t="s">
        <v>55</v>
      </c>
      <c r="K91" t="s">
        <v>29</v>
      </c>
      <c r="L91">
        <v>3</v>
      </c>
    </row>
    <row r="92" spans="1:12" x14ac:dyDescent="0.25">
      <c r="A92">
        <v>89</v>
      </c>
      <c r="B92" s="1">
        <v>44285</v>
      </c>
      <c r="C92" t="s">
        <v>11</v>
      </c>
      <c r="D92" t="s">
        <v>12</v>
      </c>
      <c r="E92" t="s">
        <v>19</v>
      </c>
      <c r="F92">
        <v>3</v>
      </c>
      <c r="G92">
        <v>300</v>
      </c>
      <c r="H92">
        <v>900</v>
      </c>
      <c r="I92" t="s">
        <v>54</v>
      </c>
      <c r="J92" t="s">
        <v>55</v>
      </c>
      <c r="K92" t="s">
        <v>29</v>
      </c>
      <c r="L92">
        <v>3</v>
      </c>
    </row>
    <row r="93" spans="1:12" x14ac:dyDescent="0.25">
      <c r="A93">
        <v>90</v>
      </c>
      <c r="B93" s="1">
        <v>44286</v>
      </c>
      <c r="C93" t="s">
        <v>11</v>
      </c>
      <c r="D93" t="s">
        <v>9</v>
      </c>
      <c r="E93" t="s">
        <v>19</v>
      </c>
      <c r="F93">
        <v>3</v>
      </c>
      <c r="G93">
        <v>300</v>
      </c>
      <c r="H93">
        <v>900</v>
      </c>
      <c r="I93" t="s">
        <v>54</v>
      </c>
      <c r="J93" t="s">
        <v>55</v>
      </c>
      <c r="K93" t="s">
        <v>29</v>
      </c>
      <c r="L93">
        <v>3</v>
      </c>
    </row>
    <row r="94" spans="1:12" x14ac:dyDescent="0.25">
      <c r="A94">
        <v>91</v>
      </c>
      <c r="B94" s="1">
        <v>44287</v>
      </c>
      <c r="C94" t="s">
        <v>11</v>
      </c>
      <c r="D94" t="s">
        <v>22</v>
      </c>
      <c r="E94" t="s">
        <v>19</v>
      </c>
      <c r="F94">
        <v>3</v>
      </c>
      <c r="G94">
        <v>300</v>
      </c>
      <c r="H94">
        <v>900</v>
      </c>
      <c r="I94" t="s">
        <v>54</v>
      </c>
      <c r="J94" t="s">
        <v>56</v>
      </c>
      <c r="K94" t="s">
        <v>30</v>
      </c>
      <c r="L94">
        <v>4</v>
      </c>
    </row>
    <row r="95" spans="1:12" x14ac:dyDescent="0.25">
      <c r="A95">
        <v>92</v>
      </c>
      <c r="B95" s="1">
        <v>44288</v>
      </c>
      <c r="C95" t="s">
        <v>11</v>
      </c>
      <c r="D95" t="s">
        <v>23</v>
      </c>
      <c r="E95" t="s">
        <v>19</v>
      </c>
      <c r="F95">
        <v>3</v>
      </c>
      <c r="G95">
        <v>300</v>
      </c>
      <c r="H95">
        <v>900</v>
      </c>
      <c r="I95" t="s">
        <v>54</v>
      </c>
      <c r="J95" t="s">
        <v>56</v>
      </c>
      <c r="K95" t="s">
        <v>30</v>
      </c>
      <c r="L95">
        <v>4</v>
      </c>
    </row>
    <row r="96" spans="1:12" x14ac:dyDescent="0.25">
      <c r="A96">
        <v>93</v>
      </c>
      <c r="B96" s="1">
        <v>44289</v>
      </c>
      <c r="C96" t="s">
        <v>11</v>
      </c>
      <c r="D96" t="s">
        <v>12</v>
      </c>
      <c r="E96" t="s">
        <v>19</v>
      </c>
      <c r="F96">
        <v>3</v>
      </c>
      <c r="G96">
        <v>300</v>
      </c>
      <c r="H96">
        <v>900</v>
      </c>
      <c r="I96" t="s">
        <v>54</v>
      </c>
      <c r="J96" t="s">
        <v>56</v>
      </c>
      <c r="K96" t="s">
        <v>30</v>
      </c>
      <c r="L96">
        <v>4</v>
      </c>
    </row>
    <row r="97" spans="1:12" x14ac:dyDescent="0.25">
      <c r="A97">
        <v>94</v>
      </c>
      <c r="B97" s="1">
        <v>44290</v>
      </c>
      <c r="C97" t="s">
        <v>11</v>
      </c>
      <c r="D97" t="s">
        <v>9</v>
      </c>
      <c r="E97" t="s">
        <v>19</v>
      </c>
      <c r="F97">
        <v>3</v>
      </c>
      <c r="G97">
        <v>300</v>
      </c>
      <c r="H97">
        <v>900</v>
      </c>
      <c r="I97" t="s">
        <v>54</v>
      </c>
      <c r="J97" t="s">
        <v>56</v>
      </c>
      <c r="K97" t="s">
        <v>30</v>
      </c>
      <c r="L97">
        <v>4</v>
      </c>
    </row>
    <row r="98" spans="1:12" x14ac:dyDescent="0.25">
      <c r="A98">
        <v>95</v>
      </c>
      <c r="B98" s="1">
        <v>44291</v>
      </c>
      <c r="C98" t="s">
        <v>11</v>
      </c>
      <c r="D98" t="s">
        <v>22</v>
      </c>
      <c r="E98" t="s">
        <v>19</v>
      </c>
      <c r="F98">
        <v>3</v>
      </c>
      <c r="G98">
        <v>300</v>
      </c>
      <c r="H98">
        <v>900</v>
      </c>
      <c r="I98" t="s">
        <v>54</v>
      </c>
      <c r="J98" t="s">
        <v>56</v>
      </c>
      <c r="K98" t="s">
        <v>30</v>
      </c>
      <c r="L98">
        <v>4</v>
      </c>
    </row>
    <row r="99" spans="1:12" x14ac:dyDescent="0.25">
      <c r="A99">
        <v>96</v>
      </c>
      <c r="B99" s="1">
        <v>44292</v>
      </c>
      <c r="C99" t="s">
        <v>11</v>
      </c>
      <c r="D99" t="s">
        <v>23</v>
      </c>
      <c r="E99" t="s">
        <v>19</v>
      </c>
      <c r="F99">
        <v>3</v>
      </c>
      <c r="G99">
        <v>300</v>
      </c>
      <c r="H99">
        <v>900</v>
      </c>
      <c r="I99" t="s">
        <v>54</v>
      </c>
      <c r="J99" t="s">
        <v>56</v>
      </c>
      <c r="K99" t="s">
        <v>30</v>
      </c>
      <c r="L99">
        <v>4</v>
      </c>
    </row>
    <row r="100" spans="1:12" x14ac:dyDescent="0.25">
      <c r="A100">
        <v>97</v>
      </c>
      <c r="B100" s="1">
        <v>44293</v>
      </c>
      <c r="C100" t="s">
        <v>14</v>
      </c>
      <c r="D100" t="s">
        <v>23</v>
      </c>
      <c r="E100" t="s">
        <v>19</v>
      </c>
      <c r="F100">
        <v>3</v>
      </c>
      <c r="G100">
        <v>300</v>
      </c>
      <c r="H100">
        <v>900</v>
      </c>
      <c r="I100" t="s">
        <v>54</v>
      </c>
      <c r="J100" t="s">
        <v>56</v>
      </c>
      <c r="K100" t="s">
        <v>30</v>
      </c>
      <c r="L100">
        <v>4</v>
      </c>
    </row>
    <row r="101" spans="1:12" x14ac:dyDescent="0.25">
      <c r="A101">
        <v>98</v>
      </c>
      <c r="B101" s="1">
        <v>44294</v>
      </c>
      <c r="C101" t="s">
        <v>16</v>
      </c>
      <c r="D101" t="s">
        <v>23</v>
      </c>
      <c r="E101" t="s">
        <v>19</v>
      </c>
      <c r="F101">
        <v>3</v>
      </c>
      <c r="G101">
        <v>300</v>
      </c>
      <c r="H101">
        <v>900</v>
      </c>
      <c r="I101" t="s">
        <v>54</v>
      </c>
      <c r="J101" t="s">
        <v>56</v>
      </c>
      <c r="K101" t="s">
        <v>30</v>
      </c>
      <c r="L101">
        <v>4</v>
      </c>
    </row>
    <row r="102" spans="1:12" x14ac:dyDescent="0.25">
      <c r="A102">
        <v>99</v>
      </c>
      <c r="B102" s="1">
        <v>44295</v>
      </c>
      <c r="C102" t="s">
        <v>18</v>
      </c>
      <c r="D102" t="s">
        <v>23</v>
      </c>
      <c r="E102" t="s">
        <v>10</v>
      </c>
      <c r="F102">
        <v>3</v>
      </c>
      <c r="G102">
        <v>190</v>
      </c>
      <c r="H102">
        <v>570</v>
      </c>
      <c r="I102" t="s">
        <v>54</v>
      </c>
      <c r="J102" t="s">
        <v>56</v>
      </c>
      <c r="K102" t="s">
        <v>30</v>
      </c>
      <c r="L102">
        <v>4</v>
      </c>
    </row>
    <row r="103" spans="1:12" x14ac:dyDescent="0.25">
      <c r="A103">
        <v>100</v>
      </c>
      <c r="B103" s="1">
        <v>44296</v>
      </c>
      <c r="C103" t="s">
        <v>20</v>
      </c>
      <c r="D103" t="s">
        <v>23</v>
      </c>
      <c r="E103" t="s">
        <v>13</v>
      </c>
      <c r="F103">
        <v>2</v>
      </c>
      <c r="G103">
        <v>2100</v>
      </c>
      <c r="H103">
        <v>4200</v>
      </c>
      <c r="I103" t="s">
        <v>54</v>
      </c>
      <c r="J103" t="s">
        <v>56</v>
      </c>
      <c r="K103" t="s">
        <v>30</v>
      </c>
      <c r="L103">
        <v>4</v>
      </c>
    </row>
    <row r="104" spans="1:12" x14ac:dyDescent="0.25">
      <c r="A104">
        <v>101</v>
      </c>
      <c r="B104" s="1">
        <v>44297</v>
      </c>
      <c r="C104" t="s">
        <v>20</v>
      </c>
      <c r="D104" t="s">
        <v>9</v>
      </c>
      <c r="E104" t="s">
        <v>10</v>
      </c>
      <c r="F104">
        <v>7</v>
      </c>
      <c r="G104">
        <v>210</v>
      </c>
      <c r="H104">
        <v>1470</v>
      </c>
      <c r="I104" t="s">
        <v>54</v>
      </c>
      <c r="J104" t="s">
        <v>56</v>
      </c>
      <c r="K104" t="s">
        <v>30</v>
      </c>
      <c r="L104">
        <v>4</v>
      </c>
    </row>
    <row r="105" spans="1:12" x14ac:dyDescent="0.25">
      <c r="A105">
        <v>102</v>
      </c>
      <c r="B105" s="1">
        <v>44298</v>
      </c>
      <c r="C105" t="s">
        <v>20</v>
      </c>
      <c r="D105" t="s">
        <v>12</v>
      </c>
      <c r="E105" t="s">
        <v>13</v>
      </c>
      <c r="F105">
        <v>6</v>
      </c>
      <c r="G105">
        <v>2100</v>
      </c>
      <c r="H105">
        <v>12600</v>
      </c>
      <c r="I105" t="s">
        <v>54</v>
      </c>
      <c r="J105" t="s">
        <v>56</v>
      </c>
      <c r="K105" t="s">
        <v>30</v>
      </c>
      <c r="L105">
        <v>4</v>
      </c>
    </row>
    <row r="106" spans="1:12" x14ac:dyDescent="0.25">
      <c r="A106">
        <v>103</v>
      </c>
      <c r="B106" s="1">
        <v>44299</v>
      </c>
      <c r="C106" t="s">
        <v>20</v>
      </c>
      <c r="D106" t="s">
        <v>22</v>
      </c>
      <c r="E106" t="s">
        <v>15</v>
      </c>
      <c r="F106">
        <v>5</v>
      </c>
      <c r="G106">
        <v>1200</v>
      </c>
      <c r="H106">
        <v>6000</v>
      </c>
      <c r="I106" t="s">
        <v>54</v>
      </c>
      <c r="J106" t="s">
        <v>56</v>
      </c>
      <c r="K106" t="s">
        <v>30</v>
      </c>
      <c r="L106">
        <v>4</v>
      </c>
    </row>
    <row r="107" spans="1:12" x14ac:dyDescent="0.25">
      <c r="A107">
        <v>104</v>
      </c>
      <c r="B107" s="1">
        <v>44300</v>
      </c>
      <c r="C107" t="s">
        <v>20</v>
      </c>
      <c r="D107" t="s">
        <v>23</v>
      </c>
      <c r="E107" t="s">
        <v>13</v>
      </c>
      <c r="F107">
        <v>6</v>
      </c>
      <c r="G107">
        <v>2100</v>
      </c>
      <c r="H107">
        <v>12600</v>
      </c>
      <c r="I107" t="s">
        <v>54</v>
      </c>
      <c r="J107" t="s">
        <v>56</v>
      </c>
      <c r="K107" t="s">
        <v>30</v>
      </c>
      <c r="L107">
        <v>4</v>
      </c>
    </row>
    <row r="108" spans="1:12" x14ac:dyDescent="0.25">
      <c r="A108">
        <v>105</v>
      </c>
      <c r="B108" s="1">
        <v>44301</v>
      </c>
      <c r="C108" t="s">
        <v>20</v>
      </c>
      <c r="D108" t="s">
        <v>9</v>
      </c>
      <c r="E108" t="s">
        <v>15</v>
      </c>
      <c r="F108">
        <v>5</v>
      </c>
      <c r="G108">
        <v>1200</v>
      </c>
      <c r="H108">
        <v>6000</v>
      </c>
      <c r="I108" t="s">
        <v>54</v>
      </c>
      <c r="J108" t="s">
        <v>56</v>
      </c>
      <c r="K108" t="s">
        <v>30</v>
      </c>
      <c r="L108">
        <v>4</v>
      </c>
    </row>
    <row r="109" spans="1:12" x14ac:dyDescent="0.25">
      <c r="A109">
        <v>106</v>
      </c>
      <c r="B109" s="1">
        <v>44302</v>
      </c>
      <c r="C109" t="s">
        <v>20</v>
      </c>
      <c r="D109" t="s">
        <v>12</v>
      </c>
      <c r="E109" t="s">
        <v>21</v>
      </c>
      <c r="F109">
        <v>2</v>
      </c>
      <c r="G109">
        <v>190</v>
      </c>
      <c r="H109">
        <v>380</v>
      </c>
      <c r="I109" t="s">
        <v>54</v>
      </c>
      <c r="J109" t="s">
        <v>56</v>
      </c>
      <c r="K109" t="s">
        <v>30</v>
      </c>
      <c r="L109">
        <v>4</v>
      </c>
    </row>
    <row r="110" spans="1:12" x14ac:dyDescent="0.25">
      <c r="A110">
        <v>107</v>
      </c>
      <c r="B110" s="1">
        <v>44303</v>
      </c>
      <c r="C110" t="s">
        <v>20</v>
      </c>
      <c r="D110" t="s">
        <v>22</v>
      </c>
      <c r="E110" t="s">
        <v>13</v>
      </c>
      <c r="F110">
        <v>6</v>
      </c>
      <c r="G110">
        <v>2100</v>
      </c>
      <c r="H110">
        <v>12600</v>
      </c>
      <c r="I110" t="s">
        <v>54</v>
      </c>
      <c r="J110" t="s">
        <v>56</v>
      </c>
      <c r="K110" t="s">
        <v>30</v>
      </c>
      <c r="L110">
        <v>4</v>
      </c>
    </row>
    <row r="111" spans="1:12" x14ac:dyDescent="0.25">
      <c r="A111">
        <v>108</v>
      </c>
      <c r="B111" s="1">
        <v>44304</v>
      </c>
      <c r="C111" t="s">
        <v>20</v>
      </c>
      <c r="D111" t="s">
        <v>23</v>
      </c>
      <c r="E111" t="s">
        <v>15</v>
      </c>
      <c r="F111">
        <v>5</v>
      </c>
      <c r="G111">
        <v>1200</v>
      </c>
      <c r="H111">
        <v>6000</v>
      </c>
      <c r="I111" t="s">
        <v>54</v>
      </c>
      <c r="J111" t="s">
        <v>56</v>
      </c>
      <c r="K111" t="s">
        <v>30</v>
      </c>
      <c r="L111">
        <v>4</v>
      </c>
    </row>
    <row r="112" spans="1:12" x14ac:dyDescent="0.25">
      <c r="A112">
        <v>109</v>
      </c>
      <c r="B112" s="1">
        <v>44305</v>
      </c>
      <c r="C112" t="s">
        <v>8</v>
      </c>
      <c r="D112" t="s">
        <v>9</v>
      </c>
      <c r="E112" t="s">
        <v>13</v>
      </c>
      <c r="F112">
        <v>6</v>
      </c>
      <c r="G112">
        <v>2100</v>
      </c>
      <c r="H112">
        <v>12600</v>
      </c>
      <c r="I112" t="s">
        <v>54</v>
      </c>
      <c r="J112" t="s">
        <v>56</v>
      </c>
      <c r="K112" t="s">
        <v>30</v>
      </c>
      <c r="L112">
        <v>4</v>
      </c>
    </row>
    <row r="113" spans="1:12" x14ac:dyDescent="0.25">
      <c r="A113">
        <v>110</v>
      </c>
      <c r="B113" s="1">
        <v>44306</v>
      </c>
      <c r="C113" t="s">
        <v>11</v>
      </c>
      <c r="D113" t="s">
        <v>12</v>
      </c>
      <c r="E113" t="s">
        <v>15</v>
      </c>
      <c r="F113">
        <v>5</v>
      </c>
      <c r="G113">
        <v>1200</v>
      </c>
      <c r="H113">
        <v>6000</v>
      </c>
      <c r="I113" t="s">
        <v>54</v>
      </c>
      <c r="J113" t="s">
        <v>56</v>
      </c>
      <c r="K113" t="s">
        <v>30</v>
      </c>
      <c r="L113">
        <v>4</v>
      </c>
    </row>
    <row r="114" spans="1:12" x14ac:dyDescent="0.25">
      <c r="A114">
        <v>111</v>
      </c>
      <c r="B114" s="1">
        <v>44307</v>
      </c>
      <c r="C114" t="s">
        <v>14</v>
      </c>
      <c r="D114" t="s">
        <v>9</v>
      </c>
      <c r="E114" t="s">
        <v>13</v>
      </c>
      <c r="F114">
        <v>6</v>
      </c>
      <c r="G114">
        <v>2100</v>
      </c>
      <c r="H114">
        <v>12600</v>
      </c>
      <c r="I114" t="s">
        <v>54</v>
      </c>
      <c r="J114" t="s">
        <v>56</v>
      </c>
      <c r="K114" t="s">
        <v>30</v>
      </c>
      <c r="L114">
        <v>4</v>
      </c>
    </row>
    <row r="115" spans="1:12" x14ac:dyDescent="0.25">
      <c r="A115">
        <v>112</v>
      </c>
      <c r="B115" s="1">
        <v>44308</v>
      </c>
      <c r="C115" t="s">
        <v>16</v>
      </c>
      <c r="D115" t="s">
        <v>12</v>
      </c>
      <c r="E115" t="s">
        <v>15</v>
      </c>
      <c r="F115">
        <v>5</v>
      </c>
      <c r="G115">
        <v>1200</v>
      </c>
      <c r="H115">
        <v>6000</v>
      </c>
      <c r="I115" t="s">
        <v>54</v>
      </c>
      <c r="J115" t="s">
        <v>56</v>
      </c>
      <c r="K115" t="s">
        <v>30</v>
      </c>
      <c r="L115">
        <v>4</v>
      </c>
    </row>
    <row r="116" spans="1:12" x14ac:dyDescent="0.25">
      <c r="A116">
        <v>113</v>
      </c>
      <c r="B116" s="1">
        <v>44309</v>
      </c>
      <c r="C116" t="s">
        <v>18</v>
      </c>
      <c r="D116" t="s">
        <v>9</v>
      </c>
      <c r="E116" t="s">
        <v>10</v>
      </c>
      <c r="F116">
        <v>2</v>
      </c>
      <c r="G116">
        <v>210</v>
      </c>
      <c r="H116">
        <v>420</v>
      </c>
      <c r="I116" t="s">
        <v>54</v>
      </c>
      <c r="J116" t="s">
        <v>56</v>
      </c>
      <c r="K116" t="s">
        <v>30</v>
      </c>
      <c r="L116">
        <v>4</v>
      </c>
    </row>
    <row r="117" spans="1:12" x14ac:dyDescent="0.25">
      <c r="A117">
        <v>114</v>
      </c>
      <c r="B117" s="1">
        <v>44310</v>
      </c>
      <c r="C117" t="s">
        <v>20</v>
      </c>
      <c r="D117" t="s">
        <v>9</v>
      </c>
      <c r="E117" t="s">
        <v>13</v>
      </c>
      <c r="F117">
        <v>7</v>
      </c>
      <c r="G117">
        <v>2100</v>
      </c>
      <c r="H117">
        <v>14700</v>
      </c>
      <c r="I117" t="s">
        <v>54</v>
      </c>
      <c r="J117" t="s">
        <v>56</v>
      </c>
      <c r="K117" t="s">
        <v>30</v>
      </c>
      <c r="L117">
        <v>4</v>
      </c>
    </row>
    <row r="118" spans="1:12" x14ac:dyDescent="0.25">
      <c r="A118">
        <v>115</v>
      </c>
      <c r="B118" s="1">
        <v>44311</v>
      </c>
      <c r="C118" t="s">
        <v>8</v>
      </c>
      <c r="D118" t="s">
        <v>9</v>
      </c>
      <c r="E118" t="s">
        <v>15</v>
      </c>
      <c r="F118">
        <v>6</v>
      </c>
      <c r="G118">
        <v>1200</v>
      </c>
      <c r="H118">
        <v>7200</v>
      </c>
      <c r="I118" t="s">
        <v>54</v>
      </c>
      <c r="J118" t="s">
        <v>56</v>
      </c>
      <c r="K118" t="s">
        <v>30</v>
      </c>
      <c r="L118">
        <v>4</v>
      </c>
    </row>
    <row r="119" spans="1:12" x14ac:dyDescent="0.25">
      <c r="A119">
        <v>116</v>
      </c>
      <c r="B119" s="1">
        <v>44312</v>
      </c>
      <c r="C119" t="s">
        <v>11</v>
      </c>
      <c r="D119" t="s">
        <v>12</v>
      </c>
      <c r="E119" t="s">
        <v>17</v>
      </c>
      <c r="F119">
        <v>5</v>
      </c>
      <c r="G119">
        <v>1500</v>
      </c>
      <c r="H119">
        <v>7500</v>
      </c>
      <c r="I119" t="s">
        <v>54</v>
      </c>
      <c r="J119" t="s">
        <v>56</v>
      </c>
      <c r="K119" t="s">
        <v>30</v>
      </c>
      <c r="L119">
        <v>4</v>
      </c>
    </row>
    <row r="120" spans="1:12" x14ac:dyDescent="0.25">
      <c r="A120">
        <v>117</v>
      </c>
      <c r="B120" s="1">
        <v>44313</v>
      </c>
      <c r="C120" t="s">
        <v>14</v>
      </c>
      <c r="D120" t="s">
        <v>12</v>
      </c>
      <c r="E120" t="s">
        <v>19</v>
      </c>
      <c r="F120">
        <v>4</v>
      </c>
      <c r="G120">
        <v>300</v>
      </c>
      <c r="H120">
        <v>1200</v>
      </c>
      <c r="I120" t="s">
        <v>54</v>
      </c>
      <c r="J120" t="s">
        <v>56</v>
      </c>
      <c r="K120" t="s">
        <v>30</v>
      </c>
      <c r="L120">
        <v>4</v>
      </c>
    </row>
    <row r="121" spans="1:12" x14ac:dyDescent="0.25">
      <c r="A121">
        <v>118</v>
      </c>
      <c r="B121" s="1">
        <v>44314</v>
      </c>
      <c r="C121" t="s">
        <v>16</v>
      </c>
      <c r="D121" t="s">
        <v>9</v>
      </c>
      <c r="E121" t="s">
        <v>21</v>
      </c>
      <c r="F121">
        <v>3</v>
      </c>
      <c r="G121">
        <v>190</v>
      </c>
      <c r="H121">
        <v>570</v>
      </c>
      <c r="I121" t="s">
        <v>54</v>
      </c>
      <c r="J121" t="s">
        <v>56</v>
      </c>
      <c r="K121" t="s">
        <v>30</v>
      </c>
      <c r="L121">
        <v>4</v>
      </c>
    </row>
    <row r="122" spans="1:12" x14ac:dyDescent="0.25">
      <c r="A122">
        <v>119</v>
      </c>
      <c r="B122" s="1">
        <v>44315</v>
      </c>
      <c r="C122" t="s">
        <v>18</v>
      </c>
      <c r="D122" t="s">
        <v>9</v>
      </c>
      <c r="E122" t="s">
        <v>10</v>
      </c>
      <c r="F122">
        <v>2</v>
      </c>
      <c r="G122">
        <v>210</v>
      </c>
      <c r="H122">
        <v>420</v>
      </c>
      <c r="I122" t="s">
        <v>54</v>
      </c>
      <c r="J122" t="s">
        <v>56</v>
      </c>
      <c r="K122" t="s">
        <v>30</v>
      </c>
      <c r="L122">
        <v>4</v>
      </c>
    </row>
    <row r="123" spans="1:12" x14ac:dyDescent="0.25">
      <c r="A123">
        <v>120</v>
      </c>
      <c r="B123" s="1">
        <v>44316</v>
      </c>
      <c r="C123" t="s">
        <v>20</v>
      </c>
      <c r="D123" t="s">
        <v>12</v>
      </c>
      <c r="E123" t="s">
        <v>15</v>
      </c>
      <c r="F123">
        <v>7</v>
      </c>
      <c r="G123">
        <v>2100</v>
      </c>
      <c r="H123">
        <v>14700</v>
      </c>
      <c r="I123" t="s">
        <v>54</v>
      </c>
      <c r="J123" t="s">
        <v>56</v>
      </c>
      <c r="K123" t="s">
        <v>30</v>
      </c>
      <c r="L123">
        <v>4</v>
      </c>
    </row>
    <row r="124" spans="1:12" x14ac:dyDescent="0.25">
      <c r="A124">
        <v>121</v>
      </c>
      <c r="B124" s="1">
        <v>44317</v>
      </c>
      <c r="C124" t="s">
        <v>20</v>
      </c>
      <c r="D124" t="s">
        <v>9</v>
      </c>
      <c r="E124" t="s">
        <v>17</v>
      </c>
      <c r="F124">
        <v>6</v>
      </c>
      <c r="G124">
        <v>1200</v>
      </c>
      <c r="H124">
        <v>7200</v>
      </c>
      <c r="I124" t="s">
        <v>54</v>
      </c>
      <c r="J124" t="s">
        <v>56</v>
      </c>
      <c r="K124" t="s">
        <v>31</v>
      </c>
      <c r="L124">
        <v>5</v>
      </c>
    </row>
    <row r="125" spans="1:12" x14ac:dyDescent="0.25">
      <c r="A125">
        <v>122</v>
      </c>
      <c r="B125" s="1">
        <v>44318</v>
      </c>
      <c r="C125" t="s">
        <v>8</v>
      </c>
      <c r="D125" t="s">
        <v>9</v>
      </c>
      <c r="E125" t="s">
        <v>19</v>
      </c>
      <c r="F125">
        <v>5</v>
      </c>
      <c r="G125">
        <v>300</v>
      </c>
      <c r="H125">
        <v>1500</v>
      </c>
      <c r="I125" t="s">
        <v>54</v>
      </c>
      <c r="J125" t="s">
        <v>56</v>
      </c>
      <c r="K125" t="s">
        <v>31</v>
      </c>
      <c r="L125">
        <v>5</v>
      </c>
    </row>
    <row r="126" spans="1:12" x14ac:dyDescent="0.25">
      <c r="A126">
        <v>123</v>
      </c>
      <c r="B126" s="1">
        <v>44319</v>
      </c>
      <c r="C126" t="s">
        <v>11</v>
      </c>
      <c r="D126" t="s">
        <v>9</v>
      </c>
      <c r="E126" t="s">
        <v>21</v>
      </c>
      <c r="F126">
        <v>4</v>
      </c>
      <c r="G126">
        <v>200</v>
      </c>
      <c r="H126">
        <v>800</v>
      </c>
      <c r="I126" t="s">
        <v>54</v>
      </c>
      <c r="J126" t="s">
        <v>56</v>
      </c>
      <c r="K126" t="s">
        <v>31</v>
      </c>
      <c r="L126">
        <v>5</v>
      </c>
    </row>
    <row r="127" spans="1:12" x14ac:dyDescent="0.25">
      <c r="A127">
        <v>124</v>
      </c>
      <c r="B127" s="1">
        <v>44320</v>
      </c>
      <c r="C127" t="s">
        <v>14</v>
      </c>
      <c r="D127" t="s">
        <v>9</v>
      </c>
      <c r="E127" t="s">
        <v>10</v>
      </c>
      <c r="F127">
        <v>3</v>
      </c>
      <c r="G127">
        <v>190</v>
      </c>
      <c r="H127">
        <v>570</v>
      </c>
      <c r="I127" t="s">
        <v>54</v>
      </c>
      <c r="J127" t="s">
        <v>56</v>
      </c>
      <c r="K127" t="s">
        <v>31</v>
      </c>
      <c r="L127">
        <v>5</v>
      </c>
    </row>
    <row r="128" spans="1:12" x14ac:dyDescent="0.25">
      <c r="A128">
        <v>125</v>
      </c>
      <c r="B128" s="1">
        <v>44321</v>
      </c>
      <c r="C128" t="s">
        <v>16</v>
      </c>
      <c r="D128" t="s">
        <v>9</v>
      </c>
      <c r="E128" t="s">
        <v>13</v>
      </c>
      <c r="F128">
        <v>2</v>
      </c>
      <c r="G128">
        <v>2100</v>
      </c>
      <c r="H128">
        <v>4200</v>
      </c>
      <c r="I128" t="s">
        <v>54</v>
      </c>
      <c r="J128" t="s">
        <v>56</v>
      </c>
      <c r="K128" t="s">
        <v>31</v>
      </c>
      <c r="L128">
        <v>5</v>
      </c>
    </row>
    <row r="129" spans="1:12" x14ac:dyDescent="0.25">
      <c r="A129">
        <v>126</v>
      </c>
      <c r="B129" s="1">
        <v>44322</v>
      </c>
      <c r="C129" t="s">
        <v>18</v>
      </c>
      <c r="D129" t="s">
        <v>9</v>
      </c>
      <c r="E129" t="s">
        <v>10</v>
      </c>
      <c r="F129">
        <v>7</v>
      </c>
      <c r="G129">
        <v>210</v>
      </c>
      <c r="H129">
        <v>1470</v>
      </c>
      <c r="I129" t="s">
        <v>54</v>
      </c>
      <c r="J129" t="s">
        <v>56</v>
      </c>
      <c r="K129" t="s">
        <v>31</v>
      </c>
      <c r="L129">
        <v>5</v>
      </c>
    </row>
    <row r="130" spans="1:12" x14ac:dyDescent="0.25">
      <c r="A130">
        <v>127</v>
      </c>
      <c r="B130" s="1">
        <v>44323</v>
      </c>
      <c r="C130" t="s">
        <v>20</v>
      </c>
      <c r="D130" t="s">
        <v>9</v>
      </c>
      <c r="E130" t="s">
        <v>13</v>
      </c>
      <c r="F130">
        <v>6</v>
      </c>
      <c r="G130">
        <v>2100</v>
      </c>
      <c r="H130">
        <v>12600</v>
      </c>
      <c r="I130" t="s">
        <v>54</v>
      </c>
      <c r="J130" t="s">
        <v>56</v>
      </c>
      <c r="K130" t="s">
        <v>31</v>
      </c>
      <c r="L130">
        <v>5</v>
      </c>
    </row>
    <row r="131" spans="1:12" x14ac:dyDescent="0.25">
      <c r="A131">
        <v>128</v>
      </c>
      <c r="B131" s="1">
        <v>44324</v>
      </c>
      <c r="C131" t="s">
        <v>8</v>
      </c>
      <c r="D131" t="s">
        <v>9</v>
      </c>
      <c r="E131" t="s">
        <v>15</v>
      </c>
      <c r="F131">
        <v>5</v>
      </c>
      <c r="G131">
        <v>1200</v>
      </c>
      <c r="H131">
        <v>6000</v>
      </c>
      <c r="I131" t="s">
        <v>54</v>
      </c>
      <c r="J131" t="s">
        <v>56</v>
      </c>
      <c r="K131" t="s">
        <v>31</v>
      </c>
      <c r="L131">
        <v>5</v>
      </c>
    </row>
    <row r="132" spans="1:12" x14ac:dyDescent="0.25">
      <c r="A132">
        <v>129</v>
      </c>
      <c r="B132" s="1">
        <v>44325</v>
      </c>
      <c r="C132" t="s">
        <v>11</v>
      </c>
      <c r="D132" t="s">
        <v>12</v>
      </c>
      <c r="E132" t="s">
        <v>17</v>
      </c>
      <c r="F132">
        <v>4</v>
      </c>
      <c r="G132">
        <v>1500</v>
      </c>
      <c r="H132">
        <v>6000</v>
      </c>
      <c r="I132" t="s">
        <v>54</v>
      </c>
      <c r="J132" t="s">
        <v>56</v>
      </c>
      <c r="K132" t="s">
        <v>31</v>
      </c>
      <c r="L132">
        <v>5</v>
      </c>
    </row>
    <row r="133" spans="1:12" x14ac:dyDescent="0.25">
      <c r="A133">
        <v>130</v>
      </c>
      <c r="B133" s="1">
        <v>44326</v>
      </c>
      <c r="C133" t="s">
        <v>14</v>
      </c>
      <c r="D133" t="s">
        <v>9</v>
      </c>
      <c r="E133" t="s">
        <v>19</v>
      </c>
      <c r="F133">
        <v>3</v>
      </c>
      <c r="G133">
        <v>300</v>
      </c>
      <c r="H133">
        <v>900</v>
      </c>
      <c r="I133" t="s">
        <v>54</v>
      </c>
      <c r="J133" t="s">
        <v>56</v>
      </c>
      <c r="K133" t="s">
        <v>31</v>
      </c>
      <c r="L133">
        <v>5</v>
      </c>
    </row>
    <row r="134" spans="1:12" x14ac:dyDescent="0.25">
      <c r="A134">
        <v>131</v>
      </c>
      <c r="B134" s="1">
        <v>44327</v>
      </c>
      <c r="C134" t="s">
        <v>16</v>
      </c>
      <c r="D134" t="s">
        <v>12</v>
      </c>
      <c r="E134" t="s">
        <v>21</v>
      </c>
      <c r="F134">
        <v>2</v>
      </c>
      <c r="G134">
        <v>190</v>
      </c>
      <c r="H134">
        <v>380</v>
      </c>
      <c r="I134" t="s">
        <v>54</v>
      </c>
      <c r="J134" t="s">
        <v>56</v>
      </c>
      <c r="K134" t="s">
        <v>31</v>
      </c>
      <c r="L134">
        <v>5</v>
      </c>
    </row>
    <row r="135" spans="1:12" x14ac:dyDescent="0.25">
      <c r="A135">
        <v>132</v>
      </c>
      <c r="B135" s="1">
        <v>44328</v>
      </c>
      <c r="C135" t="s">
        <v>18</v>
      </c>
      <c r="D135" t="s">
        <v>9</v>
      </c>
      <c r="E135" t="s">
        <v>10</v>
      </c>
      <c r="F135">
        <v>7</v>
      </c>
      <c r="G135">
        <v>210</v>
      </c>
      <c r="H135">
        <v>1470</v>
      </c>
      <c r="I135" t="s">
        <v>54</v>
      </c>
      <c r="J135" t="s">
        <v>56</v>
      </c>
      <c r="K135" t="s">
        <v>31</v>
      </c>
      <c r="L135">
        <v>5</v>
      </c>
    </row>
    <row r="136" spans="1:12" x14ac:dyDescent="0.25">
      <c r="A136">
        <v>133</v>
      </c>
      <c r="B136" s="1">
        <v>44329</v>
      </c>
      <c r="C136" t="s">
        <v>20</v>
      </c>
      <c r="D136" t="s">
        <v>9</v>
      </c>
      <c r="E136" t="s">
        <v>13</v>
      </c>
      <c r="F136">
        <v>6</v>
      </c>
      <c r="G136">
        <v>2100</v>
      </c>
      <c r="H136">
        <v>12600</v>
      </c>
      <c r="I136" t="s">
        <v>54</v>
      </c>
      <c r="J136" t="s">
        <v>56</v>
      </c>
      <c r="K136" t="s">
        <v>31</v>
      </c>
      <c r="L136">
        <v>5</v>
      </c>
    </row>
    <row r="137" spans="1:12" x14ac:dyDescent="0.25">
      <c r="A137">
        <v>134</v>
      </c>
      <c r="B137" s="1">
        <v>44330</v>
      </c>
      <c r="C137" t="s">
        <v>20</v>
      </c>
      <c r="D137" t="s">
        <v>9</v>
      </c>
      <c r="E137" t="s">
        <v>15</v>
      </c>
      <c r="F137">
        <v>5</v>
      </c>
      <c r="G137">
        <v>1200</v>
      </c>
      <c r="H137">
        <v>6000</v>
      </c>
      <c r="I137" t="s">
        <v>54</v>
      </c>
      <c r="J137" t="s">
        <v>56</v>
      </c>
      <c r="K137" t="s">
        <v>31</v>
      </c>
      <c r="L137">
        <v>5</v>
      </c>
    </row>
    <row r="138" spans="1:12" x14ac:dyDescent="0.25">
      <c r="A138">
        <v>135</v>
      </c>
      <c r="B138" s="1">
        <v>44331</v>
      </c>
      <c r="C138" t="s">
        <v>8</v>
      </c>
      <c r="D138" t="s">
        <v>9</v>
      </c>
      <c r="E138" t="s">
        <v>17</v>
      </c>
      <c r="F138">
        <v>4</v>
      </c>
      <c r="G138">
        <v>1500</v>
      </c>
      <c r="H138">
        <v>6000</v>
      </c>
      <c r="I138" t="s">
        <v>54</v>
      </c>
      <c r="J138" t="s">
        <v>56</v>
      </c>
      <c r="K138" t="s">
        <v>31</v>
      </c>
      <c r="L138">
        <v>5</v>
      </c>
    </row>
    <row r="139" spans="1:12" x14ac:dyDescent="0.25">
      <c r="A139">
        <v>136</v>
      </c>
      <c r="B139" s="1">
        <v>44332</v>
      </c>
      <c r="C139" t="s">
        <v>8</v>
      </c>
      <c r="D139" t="s">
        <v>12</v>
      </c>
      <c r="E139" t="s">
        <v>19</v>
      </c>
      <c r="F139">
        <v>3</v>
      </c>
      <c r="G139">
        <v>300</v>
      </c>
      <c r="H139">
        <v>900</v>
      </c>
      <c r="I139" t="s">
        <v>54</v>
      </c>
      <c r="J139" t="s">
        <v>56</v>
      </c>
      <c r="K139" t="s">
        <v>31</v>
      </c>
      <c r="L139">
        <v>5</v>
      </c>
    </row>
    <row r="140" spans="1:12" x14ac:dyDescent="0.25">
      <c r="A140">
        <v>137</v>
      </c>
      <c r="B140" s="1">
        <v>44333</v>
      </c>
      <c r="C140" t="s">
        <v>8</v>
      </c>
      <c r="D140" t="s">
        <v>22</v>
      </c>
      <c r="E140" t="s">
        <v>21</v>
      </c>
      <c r="F140">
        <v>2</v>
      </c>
      <c r="G140">
        <v>190</v>
      </c>
      <c r="H140">
        <v>380</v>
      </c>
      <c r="I140" t="s">
        <v>54</v>
      </c>
      <c r="J140" t="s">
        <v>56</v>
      </c>
      <c r="K140" t="s">
        <v>31</v>
      </c>
      <c r="L140">
        <v>5</v>
      </c>
    </row>
    <row r="141" spans="1:12" x14ac:dyDescent="0.25">
      <c r="A141">
        <v>138</v>
      </c>
      <c r="B141" s="1">
        <v>44334</v>
      </c>
      <c r="C141" t="s">
        <v>8</v>
      </c>
      <c r="D141" t="s">
        <v>23</v>
      </c>
      <c r="E141" t="s">
        <v>10</v>
      </c>
      <c r="F141">
        <v>2</v>
      </c>
      <c r="G141">
        <v>210</v>
      </c>
      <c r="H141">
        <v>420</v>
      </c>
      <c r="I141" t="s">
        <v>54</v>
      </c>
      <c r="J141" t="s">
        <v>56</v>
      </c>
      <c r="K141" t="s">
        <v>31</v>
      </c>
      <c r="L141">
        <v>5</v>
      </c>
    </row>
    <row r="142" spans="1:12" x14ac:dyDescent="0.25">
      <c r="A142">
        <v>139</v>
      </c>
      <c r="B142" s="1">
        <v>44335</v>
      </c>
      <c r="C142" t="s">
        <v>8</v>
      </c>
      <c r="D142" t="s">
        <v>9</v>
      </c>
      <c r="E142" t="s">
        <v>13</v>
      </c>
      <c r="F142">
        <v>7</v>
      </c>
      <c r="G142">
        <v>2100</v>
      </c>
      <c r="H142">
        <v>14700</v>
      </c>
      <c r="I142" t="s">
        <v>54</v>
      </c>
      <c r="J142" t="s">
        <v>56</v>
      </c>
      <c r="K142" t="s">
        <v>31</v>
      </c>
      <c r="L142">
        <v>5</v>
      </c>
    </row>
    <row r="143" spans="1:12" x14ac:dyDescent="0.25">
      <c r="A143">
        <v>140</v>
      </c>
      <c r="B143" s="1">
        <v>44336</v>
      </c>
      <c r="C143" t="s">
        <v>8</v>
      </c>
      <c r="D143" t="s">
        <v>12</v>
      </c>
      <c r="E143" t="s">
        <v>15</v>
      </c>
      <c r="F143">
        <v>6</v>
      </c>
      <c r="G143">
        <v>1200</v>
      </c>
      <c r="H143">
        <v>7200</v>
      </c>
      <c r="I143" t="s">
        <v>54</v>
      </c>
      <c r="J143" t="s">
        <v>56</v>
      </c>
      <c r="K143" t="s">
        <v>31</v>
      </c>
      <c r="L143">
        <v>5</v>
      </c>
    </row>
    <row r="144" spans="1:12" x14ac:dyDescent="0.25">
      <c r="A144">
        <v>141</v>
      </c>
      <c r="B144" s="1">
        <v>44337</v>
      </c>
      <c r="C144" t="s">
        <v>8</v>
      </c>
      <c r="D144" t="s">
        <v>22</v>
      </c>
      <c r="E144" t="s">
        <v>17</v>
      </c>
      <c r="F144">
        <v>5</v>
      </c>
      <c r="G144">
        <v>1500</v>
      </c>
      <c r="H144">
        <v>7500</v>
      </c>
      <c r="I144" t="s">
        <v>54</v>
      </c>
      <c r="J144" t="s">
        <v>56</v>
      </c>
      <c r="K144" t="s">
        <v>31</v>
      </c>
      <c r="L144">
        <v>5</v>
      </c>
    </row>
    <row r="145" spans="1:12" x14ac:dyDescent="0.25">
      <c r="A145">
        <v>142</v>
      </c>
      <c r="B145" s="1">
        <v>44338</v>
      </c>
      <c r="C145" t="s">
        <v>8</v>
      </c>
      <c r="D145" t="s">
        <v>23</v>
      </c>
      <c r="E145" t="s">
        <v>19</v>
      </c>
      <c r="F145">
        <v>4</v>
      </c>
      <c r="G145">
        <v>300</v>
      </c>
      <c r="H145">
        <v>1200</v>
      </c>
      <c r="I145" t="s">
        <v>54</v>
      </c>
      <c r="J145" t="s">
        <v>56</v>
      </c>
      <c r="K145" t="s">
        <v>31</v>
      </c>
      <c r="L145">
        <v>5</v>
      </c>
    </row>
    <row r="146" spans="1:12" x14ac:dyDescent="0.25">
      <c r="A146">
        <v>143</v>
      </c>
      <c r="B146" s="1">
        <v>44339</v>
      </c>
      <c r="C146" t="s">
        <v>11</v>
      </c>
      <c r="D146" t="s">
        <v>12</v>
      </c>
      <c r="E146" t="s">
        <v>21</v>
      </c>
      <c r="F146">
        <v>3</v>
      </c>
      <c r="G146">
        <v>190</v>
      </c>
      <c r="H146">
        <v>570</v>
      </c>
      <c r="I146" t="s">
        <v>54</v>
      </c>
      <c r="J146" t="s">
        <v>56</v>
      </c>
      <c r="K146" t="s">
        <v>31</v>
      </c>
      <c r="L146">
        <v>5</v>
      </c>
    </row>
    <row r="147" spans="1:12" x14ac:dyDescent="0.25">
      <c r="A147">
        <v>144</v>
      </c>
      <c r="B147" s="1">
        <v>44340</v>
      </c>
      <c r="C147" t="s">
        <v>11</v>
      </c>
      <c r="D147" t="s">
        <v>9</v>
      </c>
      <c r="E147" t="s">
        <v>19</v>
      </c>
      <c r="F147">
        <v>4</v>
      </c>
      <c r="G147">
        <v>300</v>
      </c>
      <c r="H147">
        <v>1200</v>
      </c>
      <c r="I147" t="s">
        <v>54</v>
      </c>
      <c r="J147" t="s">
        <v>56</v>
      </c>
      <c r="K147" t="s">
        <v>31</v>
      </c>
      <c r="L147">
        <v>5</v>
      </c>
    </row>
    <row r="148" spans="1:12" x14ac:dyDescent="0.25">
      <c r="A148">
        <v>145</v>
      </c>
      <c r="B148" s="1">
        <v>44341</v>
      </c>
      <c r="C148" t="s">
        <v>11</v>
      </c>
      <c r="D148" t="s">
        <v>22</v>
      </c>
      <c r="E148" t="s">
        <v>19</v>
      </c>
      <c r="F148">
        <v>4</v>
      </c>
      <c r="G148">
        <v>300</v>
      </c>
      <c r="H148">
        <v>1200</v>
      </c>
      <c r="I148" t="s">
        <v>54</v>
      </c>
      <c r="J148" t="s">
        <v>56</v>
      </c>
      <c r="K148" t="s">
        <v>31</v>
      </c>
      <c r="L148">
        <v>5</v>
      </c>
    </row>
    <row r="149" spans="1:12" x14ac:dyDescent="0.25">
      <c r="A149">
        <v>146</v>
      </c>
      <c r="B149" s="1">
        <v>44342</v>
      </c>
      <c r="C149" t="s">
        <v>11</v>
      </c>
      <c r="D149" t="s">
        <v>23</v>
      </c>
      <c r="E149" t="s">
        <v>19</v>
      </c>
      <c r="F149">
        <v>4</v>
      </c>
      <c r="G149">
        <v>300</v>
      </c>
      <c r="H149">
        <v>1200</v>
      </c>
      <c r="I149" t="s">
        <v>54</v>
      </c>
      <c r="J149" t="s">
        <v>56</v>
      </c>
      <c r="K149" t="s">
        <v>31</v>
      </c>
      <c r="L149">
        <v>5</v>
      </c>
    </row>
    <row r="150" spans="1:12" x14ac:dyDescent="0.25">
      <c r="A150">
        <v>147</v>
      </c>
      <c r="B150" s="1">
        <v>44343</v>
      </c>
      <c r="C150" t="s">
        <v>11</v>
      </c>
      <c r="D150" t="s">
        <v>12</v>
      </c>
      <c r="E150" t="s">
        <v>19</v>
      </c>
      <c r="F150">
        <v>4</v>
      </c>
      <c r="G150">
        <v>300</v>
      </c>
      <c r="H150">
        <v>1200</v>
      </c>
      <c r="I150" t="s">
        <v>54</v>
      </c>
      <c r="J150" t="s">
        <v>56</v>
      </c>
      <c r="K150" t="s">
        <v>31</v>
      </c>
      <c r="L150">
        <v>5</v>
      </c>
    </row>
    <row r="151" spans="1:12" x14ac:dyDescent="0.25">
      <c r="A151">
        <v>148</v>
      </c>
      <c r="B151" s="1">
        <v>44344</v>
      </c>
      <c r="C151" t="s">
        <v>11</v>
      </c>
      <c r="D151" t="s">
        <v>9</v>
      </c>
      <c r="E151" t="s">
        <v>19</v>
      </c>
      <c r="F151">
        <v>4</v>
      </c>
      <c r="G151">
        <v>300</v>
      </c>
      <c r="H151">
        <v>1200</v>
      </c>
      <c r="I151" t="s">
        <v>54</v>
      </c>
      <c r="J151" t="s">
        <v>56</v>
      </c>
      <c r="K151" t="s">
        <v>31</v>
      </c>
      <c r="L151">
        <v>5</v>
      </c>
    </row>
    <row r="152" spans="1:12" x14ac:dyDescent="0.25">
      <c r="A152">
        <v>149</v>
      </c>
      <c r="B152" s="1">
        <v>44345</v>
      </c>
      <c r="C152" t="s">
        <v>11</v>
      </c>
      <c r="D152" t="s">
        <v>22</v>
      </c>
      <c r="E152" t="s">
        <v>19</v>
      </c>
      <c r="F152">
        <v>4</v>
      </c>
      <c r="G152">
        <v>300</v>
      </c>
      <c r="H152">
        <v>1200</v>
      </c>
      <c r="I152" t="s">
        <v>54</v>
      </c>
      <c r="J152" t="s">
        <v>56</v>
      </c>
      <c r="K152" t="s">
        <v>31</v>
      </c>
      <c r="L152">
        <v>5</v>
      </c>
    </row>
    <row r="153" spans="1:12" x14ac:dyDescent="0.25">
      <c r="A153">
        <v>150</v>
      </c>
      <c r="B153" s="1">
        <v>44346</v>
      </c>
      <c r="C153" t="s">
        <v>11</v>
      </c>
      <c r="D153" t="s">
        <v>23</v>
      </c>
      <c r="E153" t="s">
        <v>19</v>
      </c>
      <c r="F153">
        <v>4</v>
      </c>
      <c r="G153">
        <v>300</v>
      </c>
      <c r="H153">
        <v>1200</v>
      </c>
      <c r="I153" t="s">
        <v>54</v>
      </c>
      <c r="J153" t="s">
        <v>56</v>
      </c>
      <c r="K153" t="s">
        <v>31</v>
      </c>
      <c r="L153">
        <v>5</v>
      </c>
    </row>
    <row r="154" spans="1:12" x14ac:dyDescent="0.25">
      <c r="A154">
        <v>151</v>
      </c>
      <c r="B154" s="1">
        <v>44347</v>
      </c>
      <c r="C154" t="s">
        <v>14</v>
      </c>
      <c r="D154" t="s">
        <v>23</v>
      </c>
      <c r="E154" t="s">
        <v>19</v>
      </c>
      <c r="F154">
        <v>4</v>
      </c>
      <c r="G154">
        <v>300</v>
      </c>
      <c r="H154">
        <v>1200</v>
      </c>
      <c r="I154" t="s">
        <v>54</v>
      </c>
      <c r="J154" t="s">
        <v>56</v>
      </c>
      <c r="K154" t="s">
        <v>31</v>
      </c>
      <c r="L154">
        <v>5</v>
      </c>
    </row>
    <row r="155" spans="1:12" x14ac:dyDescent="0.25">
      <c r="A155">
        <v>152</v>
      </c>
      <c r="B155" s="1">
        <v>44348</v>
      </c>
      <c r="C155" t="s">
        <v>16</v>
      </c>
      <c r="D155" t="s">
        <v>23</v>
      </c>
      <c r="E155" t="s">
        <v>13</v>
      </c>
      <c r="F155">
        <v>6</v>
      </c>
      <c r="G155">
        <v>2100</v>
      </c>
      <c r="H155">
        <v>12600</v>
      </c>
      <c r="I155" t="s">
        <v>54</v>
      </c>
      <c r="J155" t="s">
        <v>56</v>
      </c>
      <c r="K155" t="s">
        <v>32</v>
      </c>
      <c r="L155">
        <v>6</v>
      </c>
    </row>
    <row r="156" spans="1:12" x14ac:dyDescent="0.25">
      <c r="A156">
        <v>153</v>
      </c>
      <c r="B156" s="1">
        <v>44349</v>
      </c>
      <c r="C156" t="s">
        <v>18</v>
      </c>
      <c r="D156" t="s">
        <v>23</v>
      </c>
      <c r="E156" t="s">
        <v>15</v>
      </c>
      <c r="F156">
        <v>5</v>
      </c>
      <c r="G156">
        <v>1200</v>
      </c>
      <c r="H156">
        <v>6000</v>
      </c>
      <c r="I156" t="s">
        <v>54</v>
      </c>
      <c r="J156" t="s">
        <v>56</v>
      </c>
      <c r="K156" t="s">
        <v>32</v>
      </c>
      <c r="L156">
        <v>6</v>
      </c>
    </row>
    <row r="157" spans="1:12" x14ac:dyDescent="0.25">
      <c r="A157">
        <v>154</v>
      </c>
      <c r="B157" s="1">
        <v>44350</v>
      </c>
      <c r="C157" t="s">
        <v>20</v>
      </c>
      <c r="D157" t="s">
        <v>23</v>
      </c>
      <c r="E157" t="s">
        <v>17</v>
      </c>
      <c r="F157">
        <v>4</v>
      </c>
      <c r="G157">
        <v>1500</v>
      </c>
      <c r="H157">
        <v>6000</v>
      </c>
      <c r="I157" t="s">
        <v>54</v>
      </c>
      <c r="J157" t="s">
        <v>56</v>
      </c>
      <c r="K157" t="s">
        <v>32</v>
      </c>
      <c r="L157">
        <v>6</v>
      </c>
    </row>
    <row r="158" spans="1:12" x14ac:dyDescent="0.25">
      <c r="A158">
        <v>155</v>
      </c>
      <c r="B158" s="1">
        <v>44351</v>
      </c>
      <c r="C158" t="s">
        <v>20</v>
      </c>
      <c r="D158" t="s">
        <v>9</v>
      </c>
      <c r="E158" t="s">
        <v>19</v>
      </c>
      <c r="F158">
        <v>3</v>
      </c>
      <c r="G158">
        <v>300</v>
      </c>
      <c r="H158">
        <v>900</v>
      </c>
      <c r="I158" t="s">
        <v>54</v>
      </c>
      <c r="J158" t="s">
        <v>56</v>
      </c>
      <c r="K158" t="s">
        <v>32</v>
      </c>
      <c r="L158">
        <v>6</v>
      </c>
    </row>
    <row r="159" spans="1:12" x14ac:dyDescent="0.25">
      <c r="A159">
        <v>156</v>
      </c>
      <c r="B159" s="1">
        <v>44352</v>
      </c>
      <c r="C159" t="s">
        <v>20</v>
      </c>
      <c r="D159" t="s">
        <v>12</v>
      </c>
      <c r="E159" t="s">
        <v>21</v>
      </c>
      <c r="F159">
        <v>2</v>
      </c>
      <c r="G159">
        <v>190</v>
      </c>
      <c r="H159">
        <v>380</v>
      </c>
      <c r="I159" t="s">
        <v>54</v>
      </c>
      <c r="J159" t="s">
        <v>56</v>
      </c>
      <c r="K159" t="s">
        <v>32</v>
      </c>
      <c r="L159">
        <v>6</v>
      </c>
    </row>
    <row r="160" spans="1:12" x14ac:dyDescent="0.25">
      <c r="A160">
        <v>157</v>
      </c>
      <c r="B160" s="1">
        <v>44353</v>
      </c>
      <c r="C160" t="s">
        <v>20</v>
      </c>
      <c r="D160" t="s">
        <v>22</v>
      </c>
      <c r="E160" t="s">
        <v>10</v>
      </c>
      <c r="F160">
        <v>7</v>
      </c>
      <c r="G160">
        <v>210</v>
      </c>
      <c r="H160">
        <v>1470</v>
      </c>
      <c r="I160" t="s">
        <v>54</v>
      </c>
      <c r="J160" t="s">
        <v>56</v>
      </c>
      <c r="K160" t="s">
        <v>32</v>
      </c>
      <c r="L160">
        <v>6</v>
      </c>
    </row>
    <row r="161" spans="1:12" x14ac:dyDescent="0.25">
      <c r="A161">
        <v>158</v>
      </c>
      <c r="B161" s="1">
        <v>44354</v>
      </c>
      <c r="C161" t="s">
        <v>20</v>
      </c>
      <c r="D161" t="s">
        <v>23</v>
      </c>
      <c r="E161" t="s">
        <v>13</v>
      </c>
      <c r="F161">
        <v>6</v>
      </c>
      <c r="G161">
        <v>2100</v>
      </c>
      <c r="H161">
        <v>12600</v>
      </c>
      <c r="I161" t="s">
        <v>54</v>
      </c>
      <c r="J161" t="s">
        <v>56</v>
      </c>
      <c r="K161" t="s">
        <v>32</v>
      </c>
      <c r="L161">
        <v>6</v>
      </c>
    </row>
    <row r="162" spans="1:12" x14ac:dyDescent="0.25">
      <c r="A162">
        <v>159</v>
      </c>
      <c r="B162" s="1">
        <v>44355</v>
      </c>
      <c r="C162" t="s">
        <v>20</v>
      </c>
      <c r="D162" t="s">
        <v>9</v>
      </c>
      <c r="E162" t="s">
        <v>15</v>
      </c>
      <c r="F162">
        <v>5</v>
      </c>
      <c r="G162">
        <v>1200</v>
      </c>
      <c r="H162">
        <v>6000</v>
      </c>
      <c r="I162" t="s">
        <v>54</v>
      </c>
      <c r="J162" t="s">
        <v>56</v>
      </c>
      <c r="K162" t="s">
        <v>32</v>
      </c>
      <c r="L162">
        <v>6</v>
      </c>
    </row>
    <row r="163" spans="1:12" x14ac:dyDescent="0.25">
      <c r="A163">
        <v>160</v>
      </c>
      <c r="B163" s="1">
        <v>44356</v>
      </c>
      <c r="C163" t="s">
        <v>20</v>
      </c>
      <c r="D163" t="s">
        <v>12</v>
      </c>
      <c r="E163" t="s">
        <v>17</v>
      </c>
      <c r="F163">
        <v>4</v>
      </c>
      <c r="G163">
        <v>1500</v>
      </c>
      <c r="H163">
        <v>6000</v>
      </c>
      <c r="I163" t="s">
        <v>54</v>
      </c>
      <c r="J163" t="s">
        <v>56</v>
      </c>
      <c r="K163" t="s">
        <v>32</v>
      </c>
      <c r="L163">
        <v>6</v>
      </c>
    </row>
    <row r="164" spans="1:12" x14ac:dyDescent="0.25">
      <c r="A164">
        <v>161</v>
      </c>
      <c r="B164" s="1">
        <v>44357</v>
      </c>
      <c r="C164" t="s">
        <v>20</v>
      </c>
      <c r="D164" t="s">
        <v>22</v>
      </c>
      <c r="E164" t="s">
        <v>19</v>
      </c>
      <c r="F164">
        <v>3</v>
      </c>
      <c r="G164">
        <v>300</v>
      </c>
      <c r="H164">
        <v>900</v>
      </c>
      <c r="I164" t="s">
        <v>54</v>
      </c>
      <c r="J164" t="s">
        <v>56</v>
      </c>
      <c r="K164" t="s">
        <v>32</v>
      </c>
      <c r="L164">
        <v>6</v>
      </c>
    </row>
    <row r="165" spans="1:12" x14ac:dyDescent="0.25">
      <c r="A165">
        <v>162</v>
      </c>
      <c r="B165" s="1">
        <v>44358</v>
      </c>
      <c r="C165" t="s">
        <v>20</v>
      </c>
      <c r="D165" t="s">
        <v>23</v>
      </c>
      <c r="E165" t="s">
        <v>21</v>
      </c>
      <c r="F165">
        <v>2</v>
      </c>
      <c r="G165">
        <v>190</v>
      </c>
      <c r="H165">
        <v>380</v>
      </c>
      <c r="I165" t="s">
        <v>54</v>
      </c>
      <c r="J165" t="s">
        <v>56</v>
      </c>
      <c r="K165" t="s">
        <v>32</v>
      </c>
      <c r="L165">
        <v>6</v>
      </c>
    </row>
    <row r="166" spans="1:12" x14ac:dyDescent="0.25">
      <c r="A166">
        <v>163</v>
      </c>
      <c r="B166" s="1">
        <v>44359</v>
      </c>
      <c r="C166" t="s">
        <v>8</v>
      </c>
      <c r="D166" t="s">
        <v>9</v>
      </c>
      <c r="E166" t="s">
        <v>10</v>
      </c>
      <c r="F166">
        <v>2</v>
      </c>
      <c r="G166">
        <v>210</v>
      </c>
      <c r="H166">
        <v>420</v>
      </c>
      <c r="I166" t="s">
        <v>54</v>
      </c>
      <c r="J166" t="s">
        <v>56</v>
      </c>
      <c r="K166" t="s">
        <v>32</v>
      </c>
      <c r="L166">
        <v>6</v>
      </c>
    </row>
    <row r="167" spans="1:12" x14ac:dyDescent="0.25">
      <c r="A167">
        <v>164</v>
      </c>
      <c r="B167" s="1">
        <v>44360</v>
      </c>
      <c r="C167" t="s">
        <v>11</v>
      </c>
      <c r="D167" t="s">
        <v>12</v>
      </c>
      <c r="E167" t="s">
        <v>13</v>
      </c>
      <c r="F167">
        <v>7</v>
      </c>
      <c r="G167">
        <v>2100</v>
      </c>
      <c r="H167">
        <v>14700</v>
      </c>
      <c r="I167" t="s">
        <v>54</v>
      </c>
      <c r="J167" t="s">
        <v>56</v>
      </c>
      <c r="K167" t="s">
        <v>32</v>
      </c>
      <c r="L167">
        <v>6</v>
      </c>
    </row>
    <row r="168" spans="1:12" x14ac:dyDescent="0.25">
      <c r="A168">
        <v>165</v>
      </c>
      <c r="B168" s="1">
        <v>44361</v>
      </c>
      <c r="C168" t="s">
        <v>14</v>
      </c>
      <c r="D168" t="s">
        <v>9</v>
      </c>
      <c r="E168" t="s">
        <v>15</v>
      </c>
      <c r="F168">
        <v>6</v>
      </c>
      <c r="G168">
        <v>1200</v>
      </c>
      <c r="H168">
        <v>7200</v>
      </c>
      <c r="I168" t="s">
        <v>54</v>
      </c>
      <c r="J168" t="s">
        <v>56</v>
      </c>
      <c r="K168" t="s">
        <v>32</v>
      </c>
      <c r="L168">
        <v>6</v>
      </c>
    </row>
    <row r="169" spans="1:12" x14ac:dyDescent="0.25">
      <c r="A169">
        <v>166</v>
      </c>
      <c r="B169" s="1">
        <v>44362</v>
      </c>
      <c r="C169" t="s">
        <v>16</v>
      </c>
      <c r="D169" t="s">
        <v>12</v>
      </c>
      <c r="E169" t="s">
        <v>17</v>
      </c>
      <c r="F169">
        <v>5</v>
      </c>
      <c r="G169">
        <v>1500</v>
      </c>
      <c r="H169">
        <v>7500</v>
      </c>
      <c r="I169" t="s">
        <v>54</v>
      </c>
      <c r="J169" t="s">
        <v>56</v>
      </c>
      <c r="K169" t="s">
        <v>32</v>
      </c>
      <c r="L169">
        <v>6</v>
      </c>
    </row>
    <row r="170" spans="1:12" x14ac:dyDescent="0.25">
      <c r="A170">
        <v>167</v>
      </c>
      <c r="B170" s="1">
        <v>44363</v>
      </c>
      <c r="C170" t="s">
        <v>18</v>
      </c>
      <c r="D170" t="s">
        <v>9</v>
      </c>
      <c r="E170" t="s">
        <v>19</v>
      </c>
      <c r="F170">
        <v>4</v>
      </c>
      <c r="G170">
        <v>300</v>
      </c>
      <c r="H170">
        <v>1200</v>
      </c>
      <c r="I170" t="s">
        <v>54</v>
      </c>
      <c r="J170" t="s">
        <v>56</v>
      </c>
      <c r="K170" t="s">
        <v>32</v>
      </c>
      <c r="L170">
        <v>6</v>
      </c>
    </row>
    <row r="171" spans="1:12" x14ac:dyDescent="0.25">
      <c r="A171">
        <v>168</v>
      </c>
      <c r="B171" s="1">
        <v>44364</v>
      </c>
      <c r="C171" t="s">
        <v>20</v>
      </c>
      <c r="D171" t="s">
        <v>9</v>
      </c>
      <c r="E171" t="s">
        <v>21</v>
      </c>
      <c r="F171">
        <v>3</v>
      </c>
      <c r="G171">
        <v>190</v>
      </c>
      <c r="H171">
        <v>570</v>
      </c>
      <c r="I171" t="s">
        <v>54</v>
      </c>
      <c r="J171" t="s">
        <v>56</v>
      </c>
      <c r="K171" t="s">
        <v>32</v>
      </c>
      <c r="L171">
        <v>6</v>
      </c>
    </row>
    <row r="172" spans="1:12" x14ac:dyDescent="0.25">
      <c r="A172">
        <v>169</v>
      </c>
      <c r="B172" s="1">
        <v>44365</v>
      </c>
      <c r="C172" t="s">
        <v>8</v>
      </c>
      <c r="D172" t="s">
        <v>9</v>
      </c>
      <c r="E172" t="s">
        <v>10</v>
      </c>
      <c r="F172">
        <v>2</v>
      </c>
      <c r="G172">
        <v>210</v>
      </c>
      <c r="H172">
        <v>420</v>
      </c>
      <c r="I172" t="s">
        <v>54</v>
      </c>
      <c r="J172" t="s">
        <v>56</v>
      </c>
      <c r="K172" t="s">
        <v>32</v>
      </c>
      <c r="L172">
        <v>6</v>
      </c>
    </row>
    <row r="173" spans="1:12" x14ac:dyDescent="0.25">
      <c r="A173">
        <v>170</v>
      </c>
      <c r="B173" s="1">
        <v>44366</v>
      </c>
      <c r="C173" t="s">
        <v>11</v>
      </c>
      <c r="D173" t="s">
        <v>12</v>
      </c>
      <c r="E173" t="s">
        <v>15</v>
      </c>
      <c r="F173">
        <v>7</v>
      </c>
      <c r="G173">
        <v>2100</v>
      </c>
      <c r="H173">
        <v>14700</v>
      </c>
      <c r="I173" t="s">
        <v>54</v>
      </c>
      <c r="J173" t="s">
        <v>56</v>
      </c>
      <c r="K173" t="s">
        <v>32</v>
      </c>
      <c r="L173">
        <v>6</v>
      </c>
    </row>
    <row r="174" spans="1:12" x14ac:dyDescent="0.25">
      <c r="A174">
        <v>171</v>
      </c>
      <c r="B174" s="1">
        <v>44367</v>
      </c>
      <c r="C174" t="s">
        <v>14</v>
      </c>
      <c r="D174" t="s">
        <v>12</v>
      </c>
      <c r="E174" t="s">
        <v>17</v>
      </c>
      <c r="F174">
        <v>6</v>
      </c>
      <c r="G174">
        <v>1200</v>
      </c>
      <c r="H174">
        <v>7200</v>
      </c>
      <c r="I174" t="s">
        <v>54</v>
      </c>
      <c r="J174" t="s">
        <v>56</v>
      </c>
      <c r="K174" t="s">
        <v>32</v>
      </c>
      <c r="L174">
        <v>6</v>
      </c>
    </row>
    <row r="175" spans="1:12" x14ac:dyDescent="0.25">
      <c r="A175">
        <v>172</v>
      </c>
      <c r="B175" s="1">
        <v>44368</v>
      </c>
      <c r="C175" t="s">
        <v>16</v>
      </c>
      <c r="D175" t="s">
        <v>9</v>
      </c>
      <c r="E175" t="s">
        <v>19</v>
      </c>
      <c r="F175">
        <v>5</v>
      </c>
      <c r="G175">
        <v>300</v>
      </c>
      <c r="H175">
        <v>1500</v>
      </c>
      <c r="I175" t="s">
        <v>54</v>
      </c>
      <c r="J175" t="s">
        <v>56</v>
      </c>
      <c r="K175" t="s">
        <v>32</v>
      </c>
      <c r="L175">
        <v>6</v>
      </c>
    </row>
    <row r="176" spans="1:12" x14ac:dyDescent="0.25">
      <c r="A176">
        <v>173</v>
      </c>
      <c r="B176" s="1">
        <v>44369</v>
      </c>
      <c r="C176" t="s">
        <v>18</v>
      </c>
      <c r="D176" t="s">
        <v>9</v>
      </c>
      <c r="E176" t="s">
        <v>21</v>
      </c>
      <c r="F176">
        <v>4</v>
      </c>
      <c r="G176">
        <v>200</v>
      </c>
      <c r="H176">
        <v>800</v>
      </c>
      <c r="I176" t="s">
        <v>54</v>
      </c>
      <c r="J176" t="s">
        <v>56</v>
      </c>
      <c r="K176" t="s">
        <v>32</v>
      </c>
      <c r="L176">
        <v>6</v>
      </c>
    </row>
    <row r="177" spans="1:12" x14ac:dyDescent="0.25">
      <c r="A177">
        <v>174</v>
      </c>
      <c r="B177" s="1">
        <v>44370</v>
      </c>
      <c r="C177" t="s">
        <v>20</v>
      </c>
      <c r="D177" t="s">
        <v>12</v>
      </c>
      <c r="E177" t="s">
        <v>10</v>
      </c>
      <c r="F177">
        <v>3</v>
      </c>
      <c r="G177">
        <v>190</v>
      </c>
      <c r="H177">
        <v>570</v>
      </c>
      <c r="I177" t="s">
        <v>54</v>
      </c>
      <c r="J177" t="s">
        <v>56</v>
      </c>
      <c r="K177" t="s">
        <v>32</v>
      </c>
      <c r="L177">
        <v>6</v>
      </c>
    </row>
    <row r="178" spans="1:12" x14ac:dyDescent="0.25">
      <c r="A178">
        <v>175</v>
      </c>
      <c r="B178" s="1">
        <v>44371</v>
      </c>
      <c r="C178" t="s">
        <v>20</v>
      </c>
      <c r="D178" t="s">
        <v>9</v>
      </c>
      <c r="E178" t="s">
        <v>13</v>
      </c>
      <c r="F178">
        <v>2</v>
      </c>
      <c r="G178">
        <v>2100</v>
      </c>
      <c r="H178">
        <v>4200</v>
      </c>
      <c r="I178" t="s">
        <v>54</v>
      </c>
      <c r="J178" t="s">
        <v>56</v>
      </c>
      <c r="K178" t="s">
        <v>32</v>
      </c>
      <c r="L178">
        <v>6</v>
      </c>
    </row>
    <row r="179" spans="1:12" x14ac:dyDescent="0.25">
      <c r="A179">
        <v>176</v>
      </c>
      <c r="B179" s="1">
        <v>44372</v>
      </c>
      <c r="C179" t="s">
        <v>8</v>
      </c>
      <c r="D179" t="s">
        <v>9</v>
      </c>
      <c r="E179" t="s">
        <v>10</v>
      </c>
      <c r="F179">
        <v>7</v>
      </c>
      <c r="G179">
        <v>210</v>
      </c>
      <c r="H179">
        <v>1470</v>
      </c>
      <c r="I179" t="s">
        <v>54</v>
      </c>
      <c r="J179" t="s">
        <v>56</v>
      </c>
      <c r="K179" t="s">
        <v>32</v>
      </c>
      <c r="L179">
        <v>6</v>
      </c>
    </row>
    <row r="180" spans="1:12" x14ac:dyDescent="0.25">
      <c r="A180">
        <v>177</v>
      </c>
      <c r="B180" s="1">
        <v>44373</v>
      </c>
      <c r="C180" t="s">
        <v>11</v>
      </c>
      <c r="D180" t="s">
        <v>9</v>
      </c>
      <c r="E180" t="s">
        <v>10</v>
      </c>
      <c r="F180">
        <v>3</v>
      </c>
      <c r="G180">
        <v>190</v>
      </c>
      <c r="H180">
        <v>570</v>
      </c>
      <c r="I180" t="s">
        <v>54</v>
      </c>
      <c r="J180" t="s">
        <v>56</v>
      </c>
      <c r="K180" t="s">
        <v>32</v>
      </c>
      <c r="L180">
        <v>6</v>
      </c>
    </row>
    <row r="181" spans="1:12" x14ac:dyDescent="0.25">
      <c r="A181">
        <v>178</v>
      </c>
      <c r="B181" s="1">
        <v>44374</v>
      </c>
      <c r="C181" t="s">
        <v>14</v>
      </c>
      <c r="D181" t="s">
        <v>9</v>
      </c>
      <c r="E181" t="s">
        <v>10</v>
      </c>
      <c r="F181">
        <v>3</v>
      </c>
      <c r="G181">
        <v>190</v>
      </c>
      <c r="H181">
        <v>570</v>
      </c>
      <c r="I181" t="s">
        <v>54</v>
      </c>
      <c r="J181" t="s">
        <v>56</v>
      </c>
      <c r="K181" t="s">
        <v>32</v>
      </c>
      <c r="L181">
        <v>6</v>
      </c>
    </row>
    <row r="182" spans="1:12" x14ac:dyDescent="0.25">
      <c r="A182">
        <v>179</v>
      </c>
      <c r="B182" s="1">
        <v>44375</v>
      </c>
      <c r="C182" t="s">
        <v>16</v>
      </c>
      <c r="D182" t="s">
        <v>9</v>
      </c>
      <c r="E182" t="s">
        <v>10</v>
      </c>
      <c r="F182">
        <v>3</v>
      </c>
      <c r="G182">
        <v>190</v>
      </c>
      <c r="H182">
        <v>570</v>
      </c>
      <c r="I182" t="s">
        <v>54</v>
      </c>
      <c r="J182" t="s">
        <v>56</v>
      </c>
      <c r="K182" t="s">
        <v>32</v>
      </c>
      <c r="L182">
        <v>6</v>
      </c>
    </row>
    <row r="183" spans="1:12" x14ac:dyDescent="0.25">
      <c r="A183">
        <v>180</v>
      </c>
      <c r="B183" s="1">
        <v>44376</v>
      </c>
      <c r="C183" t="s">
        <v>18</v>
      </c>
      <c r="D183" t="s">
        <v>9</v>
      </c>
      <c r="E183" t="s">
        <v>10</v>
      </c>
      <c r="F183">
        <v>3</v>
      </c>
      <c r="G183">
        <v>190</v>
      </c>
      <c r="H183">
        <v>570</v>
      </c>
      <c r="I183" t="s">
        <v>54</v>
      </c>
      <c r="J183" t="s">
        <v>56</v>
      </c>
      <c r="K183" t="s">
        <v>32</v>
      </c>
      <c r="L183">
        <v>6</v>
      </c>
    </row>
    <row r="184" spans="1:12" x14ac:dyDescent="0.25">
      <c r="A184">
        <v>181</v>
      </c>
      <c r="B184" s="1">
        <v>44377</v>
      </c>
      <c r="C184" t="s">
        <v>20</v>
      </c>
      <c r="D184" t="s">
        <v>9</v>
      </c>
      <c r="E184" t="s">
        <v>10</v>
      </c>
      <c r="F184">
        <v>3</v>
      </c>
      <c r="G184">
        <v>190</v>
      </c>
      <c r="H184">
        <v>570</v>
      </c>
      <c r="I184" t="s">
        <v>54</v>
      </c>
      <c r="J184" t="s">
        <v>56</v>
      </c>
      <c r="K184" t="s">
        <v>32</v>
      </c>
      <c r="L184">
        <v>6</v>
      </c>
    </row>
    <row r="185" spans="1:12" x14ac:dyDescent="0.25">
      <c r="A185">
        <v>182</v>
      </c>
      <c r="B185" s="1">
        <v>44378</v>
      </c>
      <c r="C185" t="s">
        <v>8</v>
      </c>
      <c r="D185" t="s">
        <v>9</v>
      </c>
      <c r="E185" t="s">
        <v>10</v>
      </c>
      <c r="F185">
        <v>3</v>
      </c>
      <c r="G185">
        <v>190</v>
      </c>
      <c r="H185">
        <v>570</v>
      </c>
      <c r="I185" t="s">
        <v>54</v>
      </c>
      <c r="J185" t="s">
        <v>57</v>
      </c>
      <c r="K185" t="s">
        <v>33</v>
      </c>
      <c r="L185">
        <v>7</v>
      </c>
    </row>
    <row r="186" spans="1:12" x14ac:dyDescent="0.25">
      <c r="A186">
        <v>183</v>
      </c>
      <c r="B186" s="1">
        <v>44379</v>
      </c>
      <c r="C186" t="s">
        <v>11</v>
      </c>
      <c r="D186" t="s">
        <v>12</v>
      </c>
      <c r="E186" t="s">
        <v>10</v>
      </c>
      <c r="F186">
        <v>3</v>
      </c>
      <c r="G186">
        <v>190</v>
      </c>
      <c r="H186">
        <v>570</v>
      </c>
      <c r="I186" t="s">
        <v>54</v>
      </c>
      <c r="J186" t="s">
        <v>57</v>
      </c>
      <c r="K186" t="s">
        <v>33</v>
      </c>
      <c r="L186">
        <v>7</v>
      </c>
    </row>
    <row r="187" spans="1:12" x14ac:dyDescent="0.25">
      <c r="A187">
        <v>184</v>
      </c>
      <c r="B187" s="1">
        <v>44380</v>
      </c>
      <c r="C187" t="s">
        <v>14</v>
      </c>
      <c r="D187" t="s">
        <v>9</v>
      </c>
      <c r="E187" t="s">
        <v>15</v>
      </c>
      <c r="F187">
        <v>5</v>
      </c>
      <c r="G187">
        <v>1200</v>
      </c>
      <c r="H187">
        <v>6000</v>
      </c>
      <c r="I187" t="s">
        <v>54</v>
      </c>
      <c r="J187" t="s">
        <v>57</v>
      </c>
      <c r="K187" t="s">
        <v>33</v>
      </c>
      <c r="L187">
        <v>7</v>
      </c>
    </row>
    <row r="188" spans="1:12" x14ac:dyDescent="0.25">
      <c r="A188">
        <v>185</v>
      </c>
      <c r="B188" s="1">
        <v>44381</v>
      </c>
      <c r="C188" t="s">
        <v>16</v>
      </c>
      <c r="D188" t="s">
        <v>12</v>
      </c>
      <c r="E188" t="s">
        <v>17</v>
      </c>
      <c r="F188">
        <v>4</v>
      </c>
      <c r="G188">
        <v>1500</v>
      </c>
      <c r="H188">
        <v>6000</v>
      </c>
      <c r="I188" t="s">
        <v>54</v>
      </c>
      <c r="J188" t="s">
        <v>57</v>
      </c>
      <c r="K188" t="s">
        <v>33</v>
      </c>
      <c r="L188">
        <v>7</v>
      </c>
    </row>
    <row r="189" spans="1:12" x14ac:dyDescent="0.25">
      <c r="A189">
        <v>186</v>
      </c>
      <c r="B189" s="1">
        <v>44382</v>
      </c>
      <c r="C189" t="s">
        <v>18</v>
      </c>
      <c r="D189" t="s">
        <v>9</v>
      </c>
      <c r="E189" t="s">
        <v>19</v>
      </c>
      <c r="F189">
        <v>3</v>
      </c>
      <c r="G189">
        <v>300</v>
      </c>
      <c r="H189">
        <v>900</v>
      </c>
      <c r="I189" t="s">
        <v>54</v>
      </c>
      <c r="J189" t="s">
        <v>57</v>
      </c>
      <c r="K189" t="s">
        <v>33</v>
      </c>
      <c r="L189">
        <v>7</v>
      </c>
    </row>
    <row r="190" spans="1:12" x14ac:dyDescent="0.25">
      <c r="A190">
        <v>187</v>
      </c>
      <c r="B190" s="1">
        <v>44383</v>
      </c>
      <c r="C190" t="s">
        <v>20</v>
      </c>
      <c r="D190" t="s">
        <v>9</v>
      </c>
      <c r="E190" t="s">
        <v>21</v>
      </c>
      <c r="F190">
        <v>2</v>
      </c>
      <c r="G190">
        <v>190</v>
      </c>
      <c r="H190">
        <v>380</v>
      </c>
      <c r="I190" t="s">
        <v>54</v>
      </c>
      <c r="J190" t="s">
        <v>57</v>
      </c>
      <c r="K190" t="s">
        <v>33</v>
      </c>
      <c r="L190">
        <v>7</v>
      </c>
    </row>
    <row r="191" spans="1:12" x14ac:dyDescent="0.25">
      <c r="A191">
        <v>188</v>
      </c>
      <c r="B191" s="1">
        <v>44384</v>
      </c>
      <c r="C191" t="s">
        <v>20</v>
      </c>
      <c r="D191" t="s">
        <v>9</v>
      </c>
      <c r="E191" t="s">
        <v>10</v>
      </c>
      <c r="F191">
        <v>2</v>
      </c>
      <c r="G191">
        <v>210</v>
      </c>
      <c r="H191">
        <v>420</v>
      </c>
      <c r="I191" t="s">
        <v>54</v>
      </c>
      <c r="J191" t="s">
        <v>57</v>
      </c>
      <c r="K191" t="s">
        <v>33</v>
      </c>
      <c r="L191">
        <v>7</v>
      </c>
    </row>
    <row r="192" spans="1:12" x14ac:dyDescent="0.25">
      <c r="A192">
        <v>189</v>
      </c>
      <c r="B192" s="1">
        <v>44385</v>
      </c>
      <c r="C192" t="s">
        <v>8</v>
      </c>
      <c r="D192" t="s">
        <v>9</v>
      </c>
      <c r="E192" t="s">
        <v>13</v>
      </c>
      <c r="F192">
        <v>7</v>
      </c>
      <c r="G192">
        <v>2100</v>
      </c>
      <c r="H192">
        <v>14700</v>
      </c>
      <c r="I192" t="s">
        <v>54</v>
      </c>
      <c r="J192" t="s">
        <v>57</v>
      </c>
      <c r="K192" t="s">
        <v>33</v>
      </c>
      <c r="L192">
        <v>7</v>
      </c>
    </row>
    <row r="193" spans="1:12" x14ac:dyDescent="0.25">
      <c r="A193">
        <v>190</v>
      </c>
      <c r="B193" s="1">
        <v>44386</v>
      </c>
      <c r="C193" t="s">
        <v>8</v>
      </c>
      <c r="D193" t="s">
        <v>12</v>
      </c>
      <c r="E193" t="s">
        <v>15</v>
      </c>
      <c r="F193">
        <v>6</v>
      </c>
      <c r="G193">
        <v>1200</v>
      </c>
      <c r="H193">
        <v>7200</v>
      </c>
      <c r="I193" t="s">
        <v>54</v>
      </c>
      <c r="J193" t="s">
        <v>57</v>
      </c>
      <c r="K193" t="s">
        <v>33</v>
      </c>
      <c r="L193">
        <v>7</v>
      </c>
    </row>
    <row r="194" spans="1:12" x14ac:dyDescent="0.25">
      <c r="A194">
        <v>191</v>
      </c>
      <c r="B194" s="1">
        <v>44387</v>
      </c>
      <c r="C194" t="s">
        <v>8</v>
      </c>
      <c r="D194" t="s">
        <v>22</v>
      </c>
      <c r="E194" t="s">
        <v>17</v>
      </c>
      <c r="F194">
        <v>5</v>
      </c>
      <c r="G194">
        <v>1500</v>
      </c>
      <c r="H194">
        <v>7500</v>
      </c>
      <c r="I194" t="s">
        <v>54</v>
      </c>
      <c r="J194" t="s">
        <v>57</v>
      </c>
      <c r="K194" t="s">
        <v>33</v>
      </c>
      <c r="L194">
        <v>7</v>
      </c>
    </row>
    <row r="195" spans="1:12" x14ac:dyDescent="0.25">
      <c r="A195">
        <v>192</v>
      </c>
      <c r="B195" s="1">
        <v>44388</v>
      </c>
      <c r="C195" t="s">
        <v>8</v>
      </c>
      <c r="D195" t="s">
        <v>23</v>
      </c>
      <c r="E195" t="s">
        <v>19</v>
      </c>
      <c r="F195">
        <v>4</v>
      </c>
      <c r="G195">
        <v>300</v>
      </c>
      <c r="H195">
        <v>1200</v>
      </c>
      <c r="I195" t="s">
        <v>54</v>
      </c>
      <c r="J195" t="s">
        <v>57</v>
      </c>
      <c r="K195" t="s">
        <v>33</v>
      </c>
      <c r="L195">
        <v>7</v>
      </c>
    </row>
    <row r="196" spans="1:12" x14ac:dyDescent="0.25">
      <c r="A196">
        <v>193</v>
      </c>
      <c r="B196" s="1">
        <v>44389</v>
      </c>
      <c r="C196" t="s">
        <v>8</v>
      </c>
      <c r="D196" t="s">
        <v>9</v>
      </c>
      <c r="E196" t="s">
        <v>21</v>
      </c>
      <c r="F196">
        <v>3</v>
      </c>
      <c r="G196">
        <v>190</v>
      </c>
      <c r="H196">
        <v>570</v>
      </c>
      <c r="I196" t="s">
        <v>54</v>
      </c>
      <c r="J196" t="s">
        <v>57</v>
      </c>
      <c r="K196" t="s">
        <v>33</v>
      </c>
      <c r="L196">
        <v>7</v>
      </c>
    </row>
    <row r="197" spans="1:12" x14ac:dyDescent="0.25">
      <c r="A197">
        <v>194</v>
      </c>
      <c r="B197" s="1">
        <v>44390</v>
      </c>
      <c r="C197" t="s">
        <v>8</v>
      </c>
      <c r="D197" t="s">
        <v>12</v>
      </c>
      <c r="E197" t="s">
        <v>10</v>
      </c>
      <c r="F197">
        <v>2</v>
      </c>
      <c r="G197">
        <v>210</v>
      </c>
      <c r="H197">
        <v>420</v>
      </c>
      <c r="I197" t="s">
        <v>54</v>
      </c>
      <c r="J197" t="s">
        <v>57</v>
      </c>
      <c r="K197" t="s">
        <v>33</v>
      </c>
      <c r="L197">
        <v>7</v>
      </c>
    </row>
    <row r="198" spans="1:12" x14ac:dyDescent="0.25">
      <c r="A198">
        <v>195</v>
      </c>
      <c r="B198" s="1">
        <v>44391</v>
      </c>
      <c r="C198" t="s">
        <v>8</v>
      </c>
      <c r="D198" t="s">
        <v>22</v>
      </c>
      <c r="E198" t="s">
        <v>15</v>
      </c>
      <c r="F198">
        <v>7</v>
      </c>
      <c r="G198">
        <v>2100</v>
      </c>
      <c r="H198">
        <v>14700</v>
      </c>
      <c r="I198" t="s">
        <v>54</v>
      </c>
      <c r="J198" t="s">
        <v>57</v>
      </c>
      <c r="K198" t="s">
        <v>33</v>
      </c>
      <c r="L198">
        <v>7</v>
      </c>
    </row>
    <row r="199" spans="1:12" x14ac:dyDescent="0.25">
      <c r="A199">
        <v>196</v>
      </c>
      <c r="B199" s="1">
        <v>44392</v>
      </c>
      <c r="C199" t="s">
        <v>8</v>
      </c>
      <c r="D199" t="s">
        <v>23</v>
      </c>
      <c r="E199" t="s">
        <v>17</v>
      </c>
      <c r="F199">
        <v>6</v>
      </c>
      <c r="G199">
        <v>1200</v>
      </c>
      <c r="H199">
        <v>7200</v>
      </c>
      <c r="I199" t="s">
        <v>54</v>
      </c>
      <c r="J199" t="s">
        <v>57</v>
      </c>
      <c r="K199" t="s">
        <v>33</v>
      </c>
      <c r="L199">
        <v>7</v>
      </c>
    </row>
    <row r="200" spans="1:12" x14ac:dyDescent="0.25">
      <c r="A200">
        <v>197</v>
      </c>
      <c r="B200" s="1">
        <v>44393</v>
      </c>
      <c r="C200" t="s">
        <v>11</v>
      </c>
      <c r="D200" t="s">
        <v>12</v>
      </c>
      <c r="E200" t="s">
        <v>19</v>
      </c>
      <c r="F200">
        <v>5</v>
      </c>
      <c r="G200">
        <v>300</v>
      </c>
      <c r="H200">
        <v>1500</v>
      </c>
      <c r="I200" t="s">
        <v>54</v>
      </c>
      <c r="J200" t="s">
        <v>57</v>
      </c>
      <c r="K200" t="s">
        <v>33</v>
      </c>
      <c r="L200">
        <v>7</v>
      </c>
    </row>
    <row r="201" spans="1:12" x14ac:dyDescent="0.25">
      <c r="A201">
        <v>198</v>
      </c>
      <c r="B201" s="1">
        <v>44394</v>
      </c>
      <c r="C201" t="s">
        <v>11</v>
      </c>
      <c r="D201" t="s">
        <v>9</v>
      </c>
      <c r="E201" t="s">
        <v>21</v>
      </c>
      <c r="F201">
        <v>4</v>
      </c>
      <c r="G201">
        <v>200</v>
      </c>
      <c r="H201">
        <v>800</v>
      </c>
      <c r="I201" t="s">
        <v>54</v>
      </c>
      <c r="J201" t="s">
        <v>57</v>
      </c>
      <c r="K201" t="s">
        <v>33</v>
      </c>
      <c r="L201">
        <v>7</v>
      </c>
    </row>
    <row r="202" spans="1:12" x14ac:dyDescent="0.25">
      <c r="A202">
        <v>199</v>
      </c>
      <c r="B202" s="1">
        <v>44395</v>
      </c>
      <c r="C202" t="s">
        <v>11</v>
      </c>
      <c r="D202" t="s">
        <v>22</v>
      </c>
      <c r="E202" t="s">
        <v>10</v>
      </c>
      <c r="F202">
        <v>3</v>
      </c>
      <c r="G202">
        <v>190</v>
      </c>
      <c r="H202">
        <v>570</v>
      </c>
      <c r="I202" t="s">
        <v>54</v>
      </c>
      <c r="J202" t="s">
        <v>57</v>
      </c>
      <c r="K202" t="s">
        <v>33</v>
      </c>
      <c r="L202">
        <v>7</v>
      </c>
    </row>
    <row r="203" spans="1:12" x14ac:dyDescent="0.25">
      <c r="A203">
        <v>200</v>
      </c>
      <c r="B203" s="1">
        <v>44396</v>
      </c>
      <c r="C203" t="s">
        <v>11</v>
      </c>
      <c r="D203" t="s">
        <v>23</v>
      </c>
      <c r="E203" t="s">
        <v>13</v>
      </c>
      <c r="F203">
        <v>2</v>
      </c>
      <c r="G203">
        <v>2100</v>
      </c>
      <c r="H203">
        <v>4200</v>
      </c>
      <c r="I203" t="s">
        <v>54</v>
      </c>
      <c r="J203" t="s">
        <v>57</v>
      </c>
      <c r="K203" t="s">
        <v>33</v>
      </c>
      <c r="L203">
        <v>7</v>
      </c>
    </row>
    <row r="204" spans="1:12" x14ac:dyDescent="0.25">
      <c r="A204">
        <v>201</v>
      </c>
      <c r="B204" s="1">
        <v>44397</v>
      </c>
      <c r="C204" t="s">
        <v>11</v>
      </c>
      <c r="D204" t="s">
        <v>12</v>
      </c>
      <c r="E204" t="s">
        <v>10</v>
      </c>
      <c r="F204">
        <v>7</v>
      </c>
      <c r="G204">
        <v>210</v>
      </c>
      <c r="H204">
        <v>1470</v>
      </c>
      <c r="I204" t="s">
        <v>54</v>
      </c>
      <c r="J204" t="s">
        <v>57</v>
      </c>
      <c r="K204" t="s">
        <v>33</v>
      </c>
      <c r="L204">
        <v>7</v>
      </c>
    </row>
    <row r="205" spans="1:12" x14ac:dyDescent="0.25">
      <c r="A205">
        <v>202</v>
      </c>
      <c r="B205" s="1">
        <v>44398</v>
      </c>
      <c r="C205" t="s">
        <v>11</v>
      </c>
      <c r="D205" t="s">
        <v>9</v>
      </c>
      <c r="E205" t="s">
        <v>13</v>
      </c>
      <c r="F205">
        <v>6</v>
      </c>
      <c r="G205">
        <v>2100</v>
      </c>
      <c r="H205">
        <v>12600</v>
      </c>
      <c r="I205" t="s">
        <v>54</v>
      </c>
      <c r="J205" t="s">
        <v>57</v>
      </c>
      <c r="K205" t="s">
        <v>33</v>
      </c>
      <c r="L205">
        <v>7</v>
      </c>
    </row>
    <row r="206" spans="1:12" x14ac:dyDescent="0.25">
      <c r="A206">
        <v>203</v>
      </c>
      <c r="B206" s="1">
        <v>44399</v>
      </c>
      <c r="C206" t="s">
        <v>11</v>
      </c>
      <c r="D206" t="s">
        <v>22</v>
      </c>
      <c r="E206" t="s">
        <v>15</v>
      </c>
      <c r="F206">
        <v>5</v>
      </c>
      <c r="G206">
        <v>1200</v>
      </c>
      <c r="H206">
        <v>6000</v>
      </c>
      <c r="I206" t="s">
        <v>54</v>
      </c>
      <c r="J206" t="s">
        <v>57</v>
      </c>
      <c r="K206" t="s">
        <v>33</v>
      </c>
      <c r="L206">
        <v>7</v>
      </c>
    </row>
    <row r="207" spans="1:12" x14ac:dyDescent="0.25">
      <c r="A207">
        <v>204</v>
      </c>
      <c r="B207" s="1">
        <v>44400</v>
      </c>
      <c r="C207" t="s">
        <v>11</v>
      </c>
      <c r="D207" t="s">
        <v>23</v>
      </c>
      <c r="E207" t="s">
        <v>17</v>
      </c>
      <c r="F207">
        <v>4</v>
      </c>
      <c r="G207">
        <v>1500</v>
      </c>
      <c r="H207">
        <v>6000</v>
      </c>
      <c r="I207" t="s">
        <v>54</v>
      </c>
      <c r="J207" t="s">
        <v>57</v>
      </c>
      <c r="K207" t="s">
        <v>33</v>
      </c>
      <c r="L207">
        <v>7</v>
      </c>
    </row>
    <row r="208" spans="1:12" x14ac:dyDescent="0.25">
      <c r="A208">
        <v>205</v>
      </c>
      <c r="B208" s="1">
        <v>44401</v>
      </c>
      <c r="C208" t="s">
        <v>14</v>
      </c>
      <c r="D208" t="s">
        <v>23</v>
      </c>
      <c r="E208" t="s">
        <v>19</v>
      </c>
      <c r="F208">
        <v>3</v>
      </c>
      <c r="G208">
        <v>300</v>
      </c>
      <c r="H208">
        <v>900</v>
      </c>
      <c r="I208" t="s">
        <v>54</v>
      </c>
      <c r="J208" t="s">
        <v>57</v>
      </c>
      <c r="K208" t="s">
        <v>33</v>
      </c>
      <c r="L208">
        <v>7</v>
      </c>
    </row>
    <row r="209" spans="1:12" x14ac:dyDescent="0.25">
      <c r="A209">
        <v>206</v>
      </c>
      <c r="B209" s="1">
        <v>44402</v>
      </c>
      <c r="C209" t="s">
        <v>16</v>
      </c>
      <c r="D209" t="s">
        <v>23</v>
      </c>
      <c r="E209" t="s">
        <v>21</v>
      </c>
      <c r="F209">
        <v>2</v>
      </c>
      <c r="G209">
        <v>190</v>
      </c>
      <c r="H209">
        <v>380</v>
      </c>
      <c r="I209" t="s">
        <v>54</v>
      </c>
      <c r="J209" t="s">
        <v>57</v>
      </c>
      <c r="K209" t="s">
        <v>33</v>
      </c>
      <c r="L209">
        <v>7</v>
      </c>
    </row>
    <row r="210" spans="1:12" x14ac:dyDescent="0.25">
      <c r="A210">
        <v>207</v>
      </c>
      <c r="B210" s="1">
        <v>44403</v>
      </c>
      <c r="C210" t="s">
        <v>18</v>
      </c>
      <c r="D210" t="s">
        <v>23</v>
      </c>
      <c r="E210" t="s">
        <v>10</v>
      </c>
      <c r="F210">
        <v>7</v>
      </c>
      <c r="G210">
        <v>210</v>
      </c>
      <c r="H210">
        <v>1470</v>
      </c>
      <c r="I210" t="s">
        <v>54</v>
      </c>
      <c r="J210" t="s">
        <v>57</v>
      </c>
      <c r="K210" t="s">
        <v>33</v>
      </c>
      <c r="L210">
        <v>7</v>
      </c>
    </row>
    <row r="211" spans="1:12" x14ac:dyDescent="0.25">
      <c r="A211">
        <v>208</v>
      </c>
      <c r="B211" s="1">
        <v>44404</v>
      </c>
      <c r="C211" t="s">
        <v>20</v>
      </c>
      <c r="D211" t="s">
        <v>23</v>
      </c>
      <c r="E211" t="s">
        <v>13</v>
      </c>
      <c r="F211">
        <v>6</v>
      </c>
      <c r="G211">
        <v>2100</v>
      </c>
      <c r="H211">
        <v>12600</v>
      </c>
      <c r="I211" t="s">
        <v>54</v>
      </c>
      <c r="J211" t="s">
        <v>57</v>
      </c>
      <c r="K211" t="s">
        <v>33</v>
      </c>
      <c r="L211">
        <v>7</v>
      </c>
    </row>
    <row r="212" spans="1:12" x14ac:dyDescent="0.25">
      <c r="A212">
        <v>209</v>
      </c>
      <c r="B212" s="1">
        <v>44405</v>
      </c>
      <c r="C212" t="s">
        <v>20</v>
      </c>
      <c r="D212" t="s">
        <v>9</v>
      </c>
      <c r="E212" t="s">
        <v>15</v>
      </c>
      <c r="F212">
        <v>5</v>
      </c>
      <c r="G212">
        <v>1200</v>
      </c>
      <c r="H212">
        <v>6000</v>
      </c>
      <c r="I212" t="s">
        <v>54</v>
      </c>
      <c r="J212" t="s">
        <v>57</v>
      </c>
      <c r="K212" t="s">
        <v>33</v>
      </c>
      <c r="L212">
        <v>7</v>
      </c>
    </row>
    <row r="213" spans="1:12" x14ac:dyDescent="0.25">
      <c r="A213">
        <v>210</v>
      </c>
      <c r="B213" s="1">
        <v>44406</v>
      </c>
      <c r="C213" t="s">
        <v>20</v>
      </c>
      <c r="D213" t="s">
        <v>12</v>
      </c>
      <c r="E213" t="s">
        <v>17</v>
      </c>
      <c r="F213">
        <v>4</v>
      </c>
      <c r="G213">
        <v>1500</v>
      </c>
      <c r="H213">
        <v>6000</v>
      </c>
      <c r="I213" t="s">
        <v>54</v>
      </c>
      <c r="J213" t="s">
        <v>57</v>
      </c>
      <c r="K213" t="s">
        <v>33</v>
      </c>
      <c r="L213">
        <v>7</v>
      </c>
    </row>
    <row r="214" spans="1:12" x14ac:dyDescent="0.25">
      <c r="A214">
        <v>211</v>
      </c>
      <c r="B214" s="1">
        <v>44407</v>
      </c>
      <c r="C214" t="s">
        <v>20</v>
      </c>
      <c r="D214" t="s">
        <v>22</v>
      </c>
      <c r="E214" t="s">
        <v>19</v>
      </c>
      <c r="F214">
        <v>3</v>
      </c>
      <c r="G214">
        <v>300</v>
      </c>
      <c r="H214">
        <v>900</v>
      </c>
      <c r="I214" t="s">
        <v>54</v>
      </c>
      <c r="J214" t="s">
        <v>57</v>
      </c>
      <c r="K214" t="s">
        <v>33</v>
      </c>
      <c r="L214">
        <v>7</v>
      </c>
    </row>
    <row r="215" spans="1:12" x14ac:dyDescent="0.25">
      <c r="A215">
        <v>212</v>
      </c>
      <c r="B215" s="1">
        <v>44408</v>
      </c>
      <c r="C215" t="s">
        <v>20</v>
      </c>
      <c r="D215" t="s">
        <v>23</v>
      </c>
      <c r="E215" t="s">
        <v>21</v>
      </c>
      <c r="F215">
        <v>2</v>
      </c>
      <c r="G215">
        <v>190</v>
      </c>
      <c r="H215">
        <v>380</v>
      </c>
      <c r="I215" t="s">
        <v>54</v>
      </c>
      <c r="J215" t="s">
        <v>57</v>
      </c>
      <c r="K215" t="s">
        <v>33</v>
      </c>
      <c r="L215">
        <v>7</v>
      </c>
    </row>
    <row r="216" spans="1:12" x14ac:dyDescent="0.25">
      <c r="A216">
        <v>213</v>
      </c>
      <c r="B216" s="1">
        <v>44409</v>
      </c>
      <c r="C216" t="s">
        <v>20</v>
      </c>
      <c r="D216" t="s">
        <v>9</v>
      </c>
      <c r="E216" t="s">
        <v>10</v>
      </c>
      <c r="F216">
        <v>2</v>
      </c>
      <c r="G216">
        <v>210</v>
      </c>
      <c r="H216">
        <v>420</v>
      </c>
      <c r="I216" t="s">
        <v>54</v>
      </c>
      <c r="J216" t="s">
        <v>57</v>
      </c>
      <c r="K216" t="s">
        <v>34</v>
      </c>
      <c r="L216">
        <v>8</v>
      </c>
    </row>
    <row r="217" spans="1:12" x14ac:dyDescent="0.25">
      <c r="A217">
        <v>214</v>
      </c>
      <c r="B217" s="1">
        <v>44410</v>
      </c>
      <c r="C217" t="s">
        <v>20</v>
      </c>
      <c r="D217" t="s">
        <v>12</v>
      </c>
      <c r="E217" t="s">
        <v>13</v>
      </c>
      <c r="F217">
        <v>7</v>
      </c>
      <c r="G217">
        <v>2100</v>
      </c>
      <c r="H217">
        <v>14700</v>
      </c>
      <c r="I217" t="s">
        <v>54</v>
      </c>
      <c r="J217" t="s">
        <v>57</v>
      </c>
      <c r="K217" t="s">
        <v>34</v>
      </c>
      <c r="L217">
        <v>8</v>
      </c>
    </row>
    <row r="218" spans="1:12" x14ac:dyDescent="0.25">
      <c r="A218">
        <v>215</v>
      </c>
      <c r="B218" s="1">
        <v>44411</v>
      </c>
      <c r="C218" t="s">
        <v>20</v>
      </c>
      <c r="D218" t="s">
        <v>22</v>
      </c>
      <c r="E218" t="s">
        <v>15</v>
      </c>
      <c r="F218">
        <v>6</v>
      </c>
      <c r="G218">
        <v>1200</v>
      </c>
      <c r="H218">
        <v>7200</v>
      </c>
      <c r="I218" t="s">
        <v>54</v>
      </c>
      <c r="J218" t="s">
        <v>57</v>
      </c>
      <c r="K218" t="s">
        <v>34</v>
      </c>
      <c r="L218">
        <v>8</v>
      </c>
    </row>
    <row r="219" spans="1:12" x14ac:dyDescent="0.25">
      <c r="A219">
        <v>216</v>
      </c>
      <c r="B219" s="1">
        <v>44412</v>
      </c>
      <c r="C219" t="s">
        <v>20</v>
      </c>
      <c r="D219" t="s">
        <v>23</v>
      </c>
      <c r="E219" t="s">
        <v>17</v>
      </c>
      <c r="F219">
        <v>5</v>
      </c>
      <c r="G219">
        <v>1500</v>
      </c>
      <c r="H219">
        <v>7500</v>
      </c>
      <c r="I219" t="s">
        <v>54</v>
      </c>
      <c r="J219" t="s">
        <v>57</v>
      </c>
      <c r="K219" t="s">
        <v>34</v>
      </c>
      <c r="L219">
        <v>8</v>
      </c>
    </row>
    <row r="220" spans="1:12" x14ac:dyDescent="0.25">
      <c r="A220">
        <v>217</v>
      </c>
      <c r="B220" s="1">
        <v>44413</v>
      </c>
      <c r="C220" t="s">
        <v>8</v>
      </c>
      <c r="D220" t="s">
        <v>9</v>
      </c>
      <c r="E220" t="s">
        <v>19</v>
      </c>
      <c r="F220">
        <v>4</v>
      </c>
      <c r="G220">
        <v>300</v>
      </c>
      <c r="H220">
        <v>1200</v>
      </c>
      <c r="I220" t="s">
        <v>54</v>
      </c>
      <c r="J220" t="s">
        <v>57</v>
      </c>
      <c r="K220" t="s">
        <v>34</v>
      </c>
      <c r="L220">
        <v>8</v>
      </c>
    </row>
    <row r="221" spans="1:12" x14ac:dyDescent="0.25">
      <c r="A221">
        <v>218</v>
      </c>
      <c r="B221" s="1">
        <v>44414</v>
      </c>
      <c r="C221" t="s">
        <v>11</v>
      </c>
      <c r="D221" t="s">
        <v>12</v>
      </c>
      <c r="E221" t="s">
        <v>21</v>
      </c>
      <c r="F221">
        <v>3</v>
      </c>
      <c r="G221">
        <v>190</v>
      </c>
      <c r="H221">
        <v>570</v>
      </c>
      <c r="I221" t="s">
        <v>54</v>
      </c>
      <c r="J221" t="s">
        <v>57</v>
      </c>
      <c r="K221" t="s">
        <v>34</v>
      </c>
      <c r="L221">
        <v>8</v>
      </c>
    </row>
    <row r="222" spans="1:12" x14ac:dyDescent="0.25">
      <c r="A222">
        <v>219</v>
      </c>
      <c r="B222" s="1">
        <v>44415</v>
      </c>
      <c r="C222" t="s">
        <v>14</v>
      </c>
      <c r="D222" t="s">
        <v>9</v>
      </c>
      <c r="E222" t="s">
        <v>10</v>
      </c>
      <c r="F222">
        <v>2</v>
      </c>
      <c r="G222">
        <v>210</v>
      </c>
      <c r="H222">
        <v>420</v>
      </c>
      <c r="I222" t="s">
        <v>54</v>
      </c>
      <c r="J222" t="s">
        <v>57</v>
      </c>
      <c r="K222" t="s">
        <v>34</v>
      </c>
      <c r="L222">
        <v>8</v>
      </c>
    </row>
    <row r="223" spans="1:12" x14ac:dyDescent="0.25">
      <c r="A223">
        <v>220</v>
      </c>
      <c r="B223" s="1">
        <v>44416</v>
      </c>
      <c r="C223" t="s">
        <v>16</v>
      </c>
      <c r="D223" t="s">
        <v>12</v>
      </c>
      <c r="E223" t="s">
        <v>15</v>
      </c>
      <c r="F223">
        <v>7</v>
      </c>
      <c r="G223">
        <v>2100</v>
      </c>
      <c r="H223">
        <v>14700</v>
      </c>
      <c r="I223" t="s">
        <v>54</v>
      </c>
      <c r="J223" t="s">
        <v>57</v>
      </c>
      <c r="K223" t="s">
        <v>34</v>
      </c>
      <c r="L223">
        <v>8</v>
      </c>
    </row>
    <row r="224" spans="1:12" x14ac:dyDescent="0.25">
      <c r="A224">
        <v>221</v>
      </c>
      <c r="B224" s="1">
        <v>44417</v>
      </c>
      <c r="C224" t="s">
        <v>18</v>
      </c>
      <c r="D224" t="s">
        <v>9</v>
      </c>
      <c r="E224" t="s">
        <v>17</v>
      </c>
      <c r="F224">
        <v>6</v>
      </c>
      <c r="G224">
        <v>1200</v>
      </c>
      <c r="H224">
        <v>7200</v>
      </c>
      <c r="I224" t="s">
        <v>54</v>
      </c>
      <c r="J224" t="s">
        <v>57</v>
      </c>
      <c r="K224" t="s">
        <v>34</v>
      </c>
      <c r="L224">
        <v>8</v>
      </c>
    </row>
    <row r="225" spans="1:12" x14ac:dyDescent="0.25">
      <c r="A225">
        <v>222</v>
      </c>
      <c r="B225" s="1">
        <v>44418</v>
      </c>
      <c r="C225" t="s">
        <v>20</v>
      </c>
      <c r="D225" t="s">
        <v>9</v>
      </c>
      <c r="E225" t="s">
        <v>19</v>
      </c>
      <c r="F225">
        <v>5</v>
      </c>
      <c r="G225">
        <v>300</v>
      </c>
      <c r="H225">
        <v>1500</v>
      </c>
      <c r="I225" t="s">
        <v>54</v>
      </c>
      <c r="J225" t="s">
        <v>57</v>
      </c>
      <c r="K225" t="s">
        <v>34</v>
      </c>
      <c r="L225">
        <v>8</v>
      </c>
    </row>
    <row r="226" spans="1:12" x14ac:dyDescent="0.25">
      <c r="A226">
        <v>223</v>
      </c>
      <c r="B226" s="1">
        <v>44419</v>
      </c>
      <c r="C226" t="s">
        <v>8</v>
      </c>
      <c r="D226" t="s">
        <v>9</v>
      </c>
      <c r="E226" t="s">
        <v>21</v>
      </c>
      <c r="F226">
        <v>4</v>
      </c>
      <c r="G226">
        <v>200</v>
      </c>
      <c r="H226">
        <v>800</v>
      </c>
      <c r="I226" t="s">
        <v>54</v>
      </c>
      <c r="J226" t="s">
        <v>57</v>
      </c>
      <c r="K226" t="s">
        <v>34</v>
      </c>
      <c r="L226">
        <v>8</v>
      </c>
    </row>
    <row r="227" spans="1:12" x14ac:dyDescent="0.25">
      <c r="A227">
        <v>224</v>
      </c>
      <c r="B227" s="1">
        <v>44420</v>
      </c>
      <c r="C227" t="s">
        <v>11</v>
      </c>
      <c r="D227" t="s">
        <v>12</v>
      </c>
      <c r="E227" t="s">
        <v>10</v>
      </c>
      <c r="F227">
        <v>3</v>
      </c>
      <c r="G227">
        <v>190</v>
      </c>
      <c r="H227">
        <v>570</v>
      </c>
      <c r="I227" t="s">
        <v>54</v>
      </c>
      <c r="J227" t="s">
        <v>57</v>
      </c>
      <c r="K227" t="s">
        <v>34</v>
      </c>
      <c r="L227">
        <v>8</v>
      </c>
    </row>
    <row r="228" spans="1:12" x14ac:dyDescent="0.25">
      <c r="A228">
        <v>225</v>
      </c>
      <c r="B228" s="1">
        <v>44421</v>
      </c>
      <c r="C228" t="s">
        <v>14</v>
      </c>
      <c r="D228" t="s">
        <v>12</v>
      </c>
      <c r="E228" t="s">
        <v>13</v>
      </c>
      <c r="F228">
        <v>2</v>
      </c>
      <c r="G228">
        <v>2100</v>
      </c>
      <c r="H228">
        <v>4200</v>
      </c>
      <c r="I228" t="s">
        <v>54</v>
      </c>
      <c r="J228" t="s">
        <v>57</v>
      </c>
      <c r="K228" t="s">
        <v>34</v>
      </c>
      <c r="L228">
        <v>8</v>
      </c>
    </row>
    <row r="229" spans="1:12" x14ac:dyDescent="0.25">
      <c r="A229">
        <v>226</v>
      </c>
      <c r="B229" s="1">
        <v>44422</v>
      </c>
      <c r="C229" t="s">
        <v>16</v>
      </c>
      <c r="D229" t="s">
        <v>9</v>
      </c>
      <c r="E229" t="s">
        <v>10</v>
      </c>
      <c r="F229">
        <v>7</v>
      </c>
      <c r="G229">
        <v>210</v>
      </c>
      <c r="H229">
        <v>1470</v>
      </c>
      <c r="I229" t="s">
        <v>54</v>
      </c>
      <c r="J229" t="s">
        <v>57</v>
      </c>
      <c r="K229" t="s">
        <v>34</v>
      </c>
      <c r="L229">
        <v>8</v>
      </c>
    </row>
    <row r="230" spans="1:12" x14ac:dyDescent="0.25">
      <c r="A230">
        <v>227</v>
      </c>
      <c r="B230" s="1">
        <v>44423</v>
      </c>
      <c r="C230" t="s">
        <v>18</v>
      </c>
      <c r="D230" t="s">
        <v>9</v>
      </c>
      <c r="E230" t="s">
        <v>13</v>
      </c>
      <c r="F230">
        <v>6</v>
      </c>
      <c r="G230">
        <v>2100</v>
      </c>
      <c r="H230">
        <v>12600</v>
      </c>
      <c r="I230" t="s">
        <v>54</v>
      </c>
      <c r="J230" t="s">
        <v>57</v>
      </c>
      <c r="K230" t="s">
        <v>34</v>
      </c>
      <c r="L230">
        <v>8</v>
      </c>
    </row>
    <row r="231" spans="1:12" x14ac:dyDescent="0.25">
      <c r="A231">
        <v>228</v>
      </c>
      <c r="B231" s="1">
        <v>44424</v>
      </c>
      <c r="C231" t="s">
        <v>20</v>
      </c>
      <c r="D231" t="s">
        <v>12</v>
      </c>
      <c r="E231" t="s">
        <v>15</v>
      </c>
      <c r="F231">
        <v>5</v>
      </c>
      <c r="G231">
        <v>1200</v>
      </c>
      <c r="H231">
        <v>6000</v>
      </c>
      <c r="I231" t="s">
        <v>54</v>
      </c>
      <c r="J231" t="s">
        <v>57</v>
      </c>
      <c r="K231" t="s">
        <v>34</v>
      </c>
      <c r="L231">
        <v>8</v>
      </c>
    </row>
    <row r="232" spans="1:12" x14ac:dyDescent="0.25">
      <c r="A232">
        <v>229</v>
      </c>
      <c r="B232" s="1">
        <v>44425</v>
      </c>
      <c r="C232" t="s">
        <v>20</v>
      </c>
      <c r="D232" t="s">
        <v>9</v>
      </c>
      <c r="E232" t="s">
        <v>17</v>
      </c>
      <c r="F232">
        <v>4</v>
      </c>
      <c r="G232">
        <v>1500</v>
      </c>
      <c r="H232">
        <v>6000</v>
      </c>
      <c r="I232" t="s">
        <v>54</v>
      </c>
      <c r="J232" t="s">
        <v>57</v>
      </c>
      <c r="K232" t="s">
        <v>34</v>
      </c>
      <c r="L232">
        <v>8</v>
      </c>
    </row>
    <row r="233" spans="1:12" x14ac:dyDescent="0.25">
      <c r="A233">
        <v>230</v>
      </c>
      <c r="B233" s="1">
        <v>44426</v>
      </c>
      <c r="C233" t="s">
        <v>8</v>
      </c>
      <c r="D233" t="s">
        <v>9</v>
      </c>
      <c r="E233" t="s">
        <v>19</v>
      </c>
      <c r="F233">
        <v>3</v>
      </c>
      <c r="G233">
        <v>300</v>
      </c>
      <c r="H233">
        <v>900</v>
      </c>
      <c r="I233" t="s">
        <v>54</v>
      </c>
      <c r="J233" t="s">
        <v>57</v>
      </c>
      <c r="K233" t="s">
        <v>34</v>
      </c>
      <c r="L233">
        <v>8</v>
      </c>
    </row>
    <row r="234" spans="1:12" x14ac:dyDescent="0.25">
      <c r="A234">
        <v>231</v>
      </c>
      <c r="B234" s="1">
        <v>44427</v>
      </c>
      <c r="C234" t="s">
        <v>11</v>
      </c>
      <c r="D234" t="s">
        <v>9</v>
      </c>
      <c r="E234" t="s">
        <v>21</v>
      </c>
      <c r="F234">
        <v>2</v>
      </c>
      <c r="G234">
        <v>190</v>
      </c>
      <c r="H234">
        <v>380</v>
      </c>
      <c r="I234" t="s">
        <v>54</v>
      </c>
      <c r="J234" t="s">
        <v>57</v>
      </c>
      <c r="K234" t="s">
        <v>34</v>
      </c>
      <c r="L234">
        <v>8</v>
      </c>
    </row>
    <row r="235" spans="1:12" x14ac:dyDescent="0.25">
      <c r="A235">
        <v>232</v>
      </c>
      <c r="B235" s="1">
        <v>44428</v>
      </c>
      <c r="C235" t="s">
        <v>14</v>
      </c>
      <c r="D235" t="s">
        <v>9</v>
      </c>
      <c r="E235" t="s">
        <v>10</v>
      </c>
      <c r="F235">
        <v>7</v>
      </c>
      <c r="G235">
        <v>210</v>
      </c>
      <c r="H235">
        <v>1470</v>
      </c>
      <c r="I235" t="s">
        <v>54</v>
      </c>
      <c r="J235" t="s">
        <v>57</v>
      </c>
      <c r="K235" t="s">
        <v>34</v>
      </c>
      <c r="L235">
        <v>8</v>
      </c>
    </row>
    <row r="236" spans="1:12" x14ac:dyDescent="0.25">
      <c r="A236">
        <v>233</v>
      </c>
      <c r="B236" s="1">
        <v>44429</v>
      </c>
      <c r="C236" t="s">
        <v>16</v>
      </c>
      <c r="D236" t="s">
        <v>9</v>
      </c>
      <c r="E236" t="s">
        <v>13</v>
      </c>
      <c r="F236">
        <v>6</v>
      </c>
      <c r="G236">
        <v>2100</v>
      </c>
      <c r="H236">
        <v>12600</v>
      </c>
      <c r="I236" t="s">
        <v>54</v>
      </c>
      <c r="J236" t="s">
        <v>57</v>
      </c>
      <c r="K236" t="s">
        <v>34</v>
      </c>
      <c r="L236">
        <v>8</v>
      </c>
    </row>
    <row r="237" spans="1:12" x14ac:dyDescent="0.25">
      <c r="A237">
        <v>234</v>
      </c>
      <c r="B237" s="1">
        <v>44430</v>
      </c>
      <c r="C237" t="s">
        <v>18</v>
      </c>
      <c r="D237" t="s">
        <v>9</v>
      </c>
      <c r="E237" t="s">
        <v>13</v>
      </c>
      <c r="F237">
        <v>7</v>
      </c>
      <c r="G237">
        <v>2100</v>
      </c>
      <c r="H237">
        <v>14700</v>
      </c>
      <c r="I237" t="s">
        <v>54</v>
      </c>
      <c r="J237" t="s">
        <v>57</v>
      </c>
      <c r="K237" t="s">
        <v>34</v>
      </c>
      <c r="L237">
        <v>8</v>
      </c>
    </row>
    <row r="238" spans="1:12" x14ac:dyDescent="0.25">
      <c r="A238">
        <v>235</v>
      </c>
      <c r="B238" s="1">
        <v>44431</v>
      </c>
      <c r="C238" t="s">
        <v>20</v>
      </c>
      <c r="D238" t="s">
        <v>9</v>
      </c>
      <c r="E238" t="s">
        <v>17</v>
      </c>
      <c r="F238">
        <v>4</v>
      </c>
      <c r="G238">
        <v>1500</v>
      </c>
      <c r="H238">
        <v>6000</v>
      </c>
      <c r="I238" t="s">
        <v>54</v>
      </c>
      <c r="J238" t="s">
        <v>57</v>
      </c>
      <c r="K238" t="s">
        <v>34</v>
      </c>
      <c r="L238">
        <v>8</v>
      </c>
    </row>
    <row r="239" spans="1:12" x14ac:dyDescent="0.25">
      <c r="A239">
        <v>236</v>
      </c>
      <c r="B239" s="1">
        <v>44432</v>
      </c>
      <c r="C239" t="s">
        <v>8</v>
      </c>
      <c r="D239" t="s">
        <v>9</v>
      </c>
      <c r="E239" t="s">
        <v>19</v>
      </c>
      <c r="F239">
        <v>3</v>
      </c>
      <c r="G239">
        <v>300</v>
      </c>
      <c r="H239">
        <v>900</v>
      </c>
      <c r="I239" t="s">
        <v>54</v>
      </c>
      <c r="J239" t="s">
        <v>57</v>
      </c>
      <c r="K239" t="s">
        <v>34</v>
      </c>
      <c r="L239">
        <v>8</v>
      </c>
    </row>
    <row r="240" spans="1:12" x14ac:dyDescent="0.25">
      <c r="A240">
        <v>237</v>
      </c>
      <c r="B240" s="1">
        <v>44433</v>
      </c>
      <c r="C240" t="s">
        <v>11</v>
      </c>
      <c r="D240" t="s">
        <v>12</v>
      </c>
      <c r="E240" t="s">
        <v>21</v>
      </c>
      <c r="F240">
        <v>2</v>
      </c>
      <c r="G240">
        <v>190</v>
      </c>
      <c r="H240">
        <v>380</v>
      </c>
      <c r="I240" t="s">
        <v>54</v>
      </c>
      <c r="J240" t="s">
        <v>57</v>
      </c>
      <c r="K240" t="s">
        <v>34</v>
      </c>
      <c r="L240">
        <v>8</v>
      </c>
    </row>
    <row r="241" spans="1:12" x14ac:dyDescent="0.25">
      <c r="A241">
        <v>238</v>
      </c>
      <c r="B241" s="1">
        <v>44434</v>
      </c>
      <c r="C241" t="s">
        <v>14</v>
      </c>
      <c r="D241" t="s">
        <v>9</v>
      </c>
      <c r="E241" t="s">
        <v>10</v>
      </c>
      <c r="F241">
        <v>2</v>
      </c>
      <c r="G241">
        <v>210</v>
      </c>
      <c r="H241">
        <v>420</v>
      </c>
      <c r="I241" t="s">
        <v>54</v>
      </c>
      <c r="J241" t="s">
        <v>57</v>
      </c>
      <c r="K241" t="s">
        <v>34</v>
      </c>
      <c r="L241">
        <v>8</v>
      </c>
    </row>
    <row r="242" spans="1:12" x14ac:dyDescent="0.25">
      <c r="A242">
        <v>239</v>
      </c>
      <c r="B242" s="1">
        <v>44435</v>
      </c>
      <c r="C242" t="s">
        <v>16</v>
      </c>
      <c r="D242" t="s">
        <v>12</v>
      </c>
      <c r="E242" t="s">
        <v>13</v>
      </c>
      <c r="F242">
        <v>7</v>
      </c>
      <c r="G242">
        <v>2100</v>
      </c>
      <c r="H242">
        <v>14700</v>
      </c>
      <c r="I242" t="s">
        <v>54</v>
      </c>
      <c r="J242" t="s">
        <v>57</v>
      </c>
      <c r="K242" t="s">
        <v>34</v>
      </c>
      <c r="L242">
        <v>8</v>
      </c>
    </row>
    <row r="243" spans="1:12" x14ac:dyDescent="0.25">
      <c r="A243">
        <v>240</v>
      </c>
      <c r="B243" s="1">
        <v>44436</v>
      </c>
      <c r="C243" t="s">
        <v>18</v>
      </c>
      <c r="D243" t="s">
        <v>9</v>
      </c>
      <c r="E243" t="s">
        <v>15</v>
      </c>
      <c r="F243">
        <v>6</v>
      </c>
      <c r="G243">
        <v>1200</v>
      </c>
      <c r="H243">
        <v>7200</v>
      </c>
      <c r="I243" t="s">
        <v>54</v>
      </c>
      <c r="J243" t="s">
        <v>57</v>
      </c>
      <c r="K243" t="s">
        <v>34</v>
      </c>
      <c r="L243">
        <v>8</v>
      </c>
    </row>
    <row r="244" spans="1:12" x14ac:dyDescent="0.25">
      <c r="A244">
        <v>241</v>
      </c>
      <c r="B244" s="1">
        <v>44437</v>
      </c>
      <c r="C244" t="s">
        <v>20</v>
      </c>
      <c r="D244" t="s">
        <v>9</v>
      </c>
      <c r="E244" t="s">
        <v>17</v>
      </c>
      <c r="F244">
        <v>5</v>
      </c>
      <c r="G244">
        <v>1500</v>
      </c>
      <c r="H244">
        <v>7500</v>
      </c>
      <c r="I244" t="s">
        <v>54</v>
      </c>
      <c r="J244" t="s">
        <v>57</v>
      </c>
      <c r="K244" t="s">
        <v>34</v>
      </c>
      <c r="L244">
        <v>8</v>
      </c>
    </row>
    <row r="245" spans="1:12" x14ac:dyDescent="0.25">
      <c r="A245">
        <v>242</v>
      </c>
      <c r="B245" s="1">
        <v>44438</v>
      </c>
      <c r="C245" t="s">
        <v>20</v>
      </c>
      <c r="D245" t="s">
        <v>9</v>
      </c>
      <c r="E245" t="s">
        <v>19</v>
      </c>
      <c r="F245">
        <v>4</v>
      </c>
      <c r="G245">
        <v>300</v>
      </c>
      <c r="H245">
        <v>1200</v>
      </c>
      <c r="I245" t="s">
        <v>54</v>
      </c>
      <c r="J245" t="s">
        <v>57</v>
      </c>
      <c r="K245" t="s">
        <v>34</v>
      </c>
      <c r="L245">
        <v>8</v>
      </c>
    </row>
    <row r="246" spans="1:12" x14ac:dyDescent="0.25">
      <c r="A246">
        <v>243</v>
      </c>
      <c r="B246" s="1">
        <v>44439</v>
      </c>
      <c r="C246" t="s">
        <v>8</v>
      </c>
      <c r="D246" t="s">
        <v>9</v>
      </c>
      <c r="E246" t="s">
        <v>19</v>
      </c>
      <c r="F246">
        <v>3</v>
      </c>
      <c r="G246">
        <v>300</v>
      </c>
      <c r="H246">
        <v>900</v>
      </c>
      <c r="I246" t="s">
        <v>54</v>
      </c>
      <c r="J246" t="s">
        <v>57</v>
      </c>
      <c r="K246" t="s">
        <v>34</v>
      </c>
      <c r="L246">
        <v>8</v>
      </c>
    </row>
    <row r="247" spans="1:12" x14ac:dyDescent="0.25">
      <c r="A247">
        <v>244</v>
      </c>
      <c r="B247" s="1">
        <v>44440</v>
      </c>
      <c r="C247" t="s">
        <v>8</v>
      </c>
      <c r="D247" t="s">
        <v>12</v>
      </c>
      <c r="E247" t="s">
        <v>21</v>
      </c>
      <c r="F247">
        <v>2</v>
      </c>
      <c r="G247">
        <v>190</v>
      </c>
      <c r="H247">
        <v>380</v>
      </c>
      <c r="I247" t="s">
        <v>54</v>
      </c>
      <c r="J247" t="s">
        <v>57</v>
      </c>
      <c r="K247" t="s">
        <v>35</v>
      </c>
      <c r="L247">
        <v>9</v>
      </c>
    </row>
    <row r="248" spans="1:12" x14ac:dyDescent="0.25">
      <c r="A248">
        <v>245</v>
      </c>
      <c r="B248" s="1">
        <v>44441</v>
      </c>
      <c r="C248" t="s">
        <v>8</v>
      </c>
      <c r="D248" t="s">
        <v>22</v>
      </c>
      <c r="E248" t="s">
        <v>10</v>
      </c>
      <c r="F248">
        <v>2</v>
      </c>
      <c r="G248">
        <v>210</v>
      </c>
      <c r="H248">
        <v>420</v>
      </c>
      <c r="I248" t="s">
        <v>54</v>
      </c>
      <c r="J248" t="s">
        <v>57</v>
      </c>
      <c r="K248" t="s">
        <v>35</v>
      </c>
      <c r="L248">
        <v>9</v>
      </c>
    </row>
    <row r="249" spans="1:12" x14ac:dyDescent="0.25">
      <c r="A249">
        <v>246</v>
      </c>
      <c r="B249" s="1">
        <v>44442</v>
      </c>
      <c r="C249" t="s">
        <v>8</v>
      </c>
      <c r="D249" t="s">
        <v>23</v>
      </c>
      <c r="E249" t="s">
        <v>13</v>
      </c>
      <c r="F249">
        <v>7</v>
      </c>
      <c r="G249">
        <v>2100</v>
      </c>
      <c r="H249">
        <v>14700</v>
      </c>
      <c r="I249" t="s">
        <v>54</v>
      </c>
      <c r="J249" t="s">
        <v>57</v>
      </c>
      <c r="K249" t="s">
        <v>35</v>
      </c>
      <c r="L249">
        <v>9</v>
      </c>
    </row>
    <row r="250" spans="1:12" x14ac:dyDescent="0.25">
      <c r="A250">
        <v>247</v>
      </c>
      <c r="B250" s="1">
        <v>44443</v>
      </c>
      <c r="C250" t="s">
        <v>8</v>
      </c>
      <c r="D250" t="s">
        <v>9</v>
      </c>
      <c r="E250" t="s">
        <v>15</v>
      </c>
      <c r="F250">
        <v>6</v>
      </c>
      <c r="G250">
        <v>1200</v>
      </c>
      <c r="H250">
        <v>7200</v>
      </c>
      <c r="I250" t="s">
        <v>54</v>
      </c>
      <c r="J250" t="s">
        <v>57</v>
      </c>
      <c r="K250" t="s">
        <v>35</v>
      </c>
      <c r="L250">
        <v>9</v>
      </c>
    </row>
    <row r="251" spans="1:12" x14ac:dyDescent="0.25">
      <c r="A251">
        <v>248</v>
      </c>
      <c r="B251" s="1">
        <v>44444</v>
      </c>
      <c r="C251" t="s">
        <v>8</v>
      </c>
      <c r="D251" t="s">
        <v>12</v>
      </c>
      <c r="E251" t="s">
        <v>17</v>
      </c>
      <c r="F251">
        <v>5</v>
      </c>
      <c r="G251">
        <v>1500</v>
      </c>
      <c r="H251">
        <v>7500</v>
      </c>
      <c r="I251" t="s">
        <v>54</v>
      </c>
      <c r="J251" t="s">
        <v>57</v>
      </c>
      <c r="K251" t="s">
        <v>35</v>
      </c>
      <c r="L251">
        <v>9</v>
      </c>
    </row>
    <row r="252" spans="1:12" x14ac:dyDescent="0.25">
      <c r="A252">
        <v>249</v>
      </c>
      <c r="B252" s="1">
        <v>44445</v>
      </c>
      <c r="C252" t="s">
        <v>8</v>
      </c>
      <c r="D252" t="s">
        <v>22</v>
      </c>
      <c r="E252" t="s">
        <v>19</v>
      </c>
      <c r="F252">
        <v>4</v>
      </c>
      <c r="G252">
        <v>300</v>
      </c>
      <c r="H252">
        <v>1200</v>
      </c>
      <c r="I252" t="s">
        <v>54</v>
      </c>
      <c r="J252" t="s">
        <v>57</v>
      </c>
      <c r="K252" t="s">
        <v>35</v>
      </c>
      <c r="L252">
        <v>9</v>
      </c>
    </row>
    <row r="253" spans="1:12" x14ac:dyDescent="0.25">
      <c r="A253">
        <v>250</v>
      </c>
      <c r="B253" s="1">
        <v>44446</v>
      </c>
      <c r="C253" t="s">
        <v>8</v>
      </c>
      <c r="D253" t="s">
        <v>23</v>
      </c>
      <c r="E253" t="s">
        <v>19</v>
      </c>
      <c r="F253">
        <v>3</v>
      </c>
      <c r="G253">
        <v>300</v>
      </c>
      <c r="H253">
        <v>900</v>
      </c>
      <c r="I253" t="s">
        <v>54</v>
      </c>
      <c r="J253" t="s">
        <v>57</v>
      </c>
      <c r="K253" t="s">
        <v>35</v>
      </c>
      <c r="L253">
        <v>9</v>
      </c>
    </row>
    <row r="254" spans="1:12" x14ac:dyDescent="0.25">
      <c r="A254">
        <v>251</v>
      </c>
      <c r="B254" s="1">
        <v>44447</v>
      </c>
      <c r="C254" t="s">
        <v>11</v>
      </c>
      <c r="D254" t="s">
        <v>12</v>
      </c>
      <c r="E254" t="s">
        <v>21</v>
      </c>
      <c r="F254">
        <v>2</v>
      </c>
      <c r="G254">
        <v>190</v>
      </c>
      <c r="H254">
        <v>380</v>
      </c>
      <c r="I254" t="s">
        <v>54</v>
      </c>
      <c r="J254" t="s">
        <v>57</v>
      </c>
      <c r="K254" t="s">
        <v>35</v>
      </c>
      <c r="L254">
        <v>9</v>
      </c>
    </row>
    <row r="255" spans="1:12" x14ac:dyDescent="0.25">
      <c r="A255">
        <v>252</v>
      </c>
      <c r="B255" s="1">
        <v>44448</v>
      </c>
      <c r="C255" t="s">
        <v>11</v>
      </c>
      <c r="D255" t="s">
        <v>9</v>
      </c>
      <c r="E255" t="s">
        <v>10</v>
      </c>
      <c r="F255">
        <v>2</v>
      </c>
      <c r="G255">
        <v>210</v>
      </c>
      <c r="H255">
        <v>420</v>
      </c>
      <c r="I255" t="s">
        <v>54</v>
      </c>
      <c r="J255" t="s">
        <v>57</v>
      </c>
      <c r="K255" t="s">
        <v>35</v>
      </c>
      <c r="L255">
        <v>9</v>
      </c>
    </row>
    <row r="256" spans="1:12" x14ac:dyDescent="0.25">
      <c r="A256">
        <v>253</v>
      </c>
      <c r="B256" s="1">
        <v>44449</v>
      </c>
      <c r="C256" t="s">
        <v>11</v>
      </c>
      <c r="D256" t="s">
        <v>22</v>
      </c>
      <c r="E256" t="s">
        <v>13</v>
      </c>
      <c r="F256">
        <v>7</v>
      </c>
      <c r="G256">
        <v>2100</v>
      </c>
      <c r="H256">
        <v>14700</v>
      </c>
      <c r="I256" t="s">
        <v>54</v>
      </c>
      <c r="J256" t="s">
        <v>57</v>
      </c>
      <c r="K256" t="s">
        <v>35</v>
      </c>
      <c r="L256">
        <v>9</v>
      </c>
    </row>
    <row r="257" spans="1:12" x14ac:dyDescent="0.25">
      <c r="A257">
        <v>254</v>
      </c>
      <c r="B257" s="1">
        <v>44450</v>
      </c>
      <c r="C257" t="s">
        <v>11</v>
      </c>
      <c r="D257" t="s">
        <v>23</v>
      </c>
      <c r="E257" t="s">
        <v>15</v>
      </c>
      <c r="F257">
        <v>6</v>
      </c>
      <c r="G257">
        <v>1200</v>
      </c>
      <c r="H257">
        <v>7200</v>
      </c>
      <c r="I257" t="s">
        <v>54</v>
      </c>
      <c r="J257" t="s">
        <v>57</v>
      </c>
      <c r="K257" t="s">
        <v>35</v>
      </c>
      <c r="L257">
        <v>9</v>
      </c>
    </row>
    <row r="258" spans="1:12" x14ac:dyDescent="0.25">
      <c r="A258">
        <v>255</v>
      </c>
      <c r="B258" s="1">
        <v>44451</v>
      </c>
      <c r="C258" t="s">
        <v>11</v>
      </c>
      <c r="D258" t="s">
        <v>12</v>
      </c>
      <c r="E258" t="s">
        <v>17</v>
      </c>
      <c r="F258">
        <v>5</v>
      </c>
      <c r="G258">
        <v>1500</v>
      </c>
      <c r="H258">
        <v>7500</v>
      </c>
      <c r="I258" t="s">
        <v>54</v>
      </c>
      <c r="J258" t="s">
        <v>57</v>
      </c>
      <c r="K258" t="s">
        <v>35</v>
      </c>
      <c r="L258">
        <v>9</v>
      </c>
    </row>
    <row r="259" spans="1:12" x14ac:dyDescent="0.25">
      <c r="A259">
        <v>256</v>
      </c>
      <c r="B259" s="1">
        <v>44452</v>
      </c>
      <c r="C259" t="s">
        <v>11</v>
      </c>
      <c r="D259" t="s">
        <v>9</v>
      </c>
      <c r="E259" t="s">
        <v>19</v>
      </c>
      <c r="F259">
        <v>4</v>
      </c>
      <c r="G259">
        <v>300</v>
      </c>
      <c r="H259">
        <v>1200</v>
      </c>
      <c r="I259" t="s">
        <v>54</v>
      </c>
      <c r="J259" t="s">
        <v>57</v>
      </c>
      <c r="K259" t="s">
        <v>35</v>
      </c>
      <c r="L259">
        <v>9</v>
      </c>
    </row>
    <row r="260" spans="1:12" x14ac:dyDescent="0.25">
      <c r="A260">
        <v>257</v>
      </c>
      <c r="B260" s="1">
        <v>44453</v>
      </c>
      <c r="C260" t="s">
        <v>11</v>
      </c>
      <c r="D260" t="s">
        <v>22</v>
      </c>
      <c r="E260" t="s">
        <v>10</v>
      </c>
      <c r="F260">
        <v>7</v>
      </c>
      <c r="G260">
        <v>210</v>
      </c>
      <c r="H260">
        <v>1470</v>
      </c>
      <c r="I260" t="s">
        <v>54</v>
      </c>
      <c r="J260" t="s">
        <v>57</v>
      </c>
      <c r="K260" t="s">
        <v>35</v>
      </c>
      <c r="L260">
        <v>9</v>
      </c>
    </row>
    <row r="261" spans="1:12" x14ac:dyDescent="0.25">
      <c r="A261">
        <v>258</v>
      </c>
      <c r="B261" s="1">
        <v>44454</v>
      </c>
      <c r="C261" t="s">
        <v>11</v>
      </c>
      <c r="D261" t="s">
        <v>23</v>
      </c>
      <c r="E261" t="s">
        <v>13</v>
      </c>
      <c r="F261">
        <v>6</v>
      </c>
      <c r="G261">
        <v>2100</v>
      </c>
      <c r="H261">
        <v>12600</v>
      </c>
      <c r="I261" t="s">
        <v>54</v>
      </c>
      <c r="J261" t="s">
        <v>57</v>
      </c>
      <c r="K261" t="s">
        <v>35</v>
      </c>
      <c r="L261">
        <v>9</v>
      </c>
    </row>
    <row r="262" spans="1:12" x14ac:dyDescent="0.25">
      <c r="A262">
        <v>259</v>
      </c>
      <c r="B262" s="1">
        <v>44455</v>
      </c>
      <c r="C262" t="s">
        <v>14</v>
      </c>
      <c r="D262" t="s">
        <v>23</v>
      </c>
      <c r="E262" t="s">
        <v>15</v>
      </c>
      <c r="F262">
        <v>5</v>
      </c>
      <c r="G262">
        <v>1200</v>
      </c>
      <c r="H262">
        <v>6000</v>
      </c>
      <c r="I262" t="s">
        <v>54</v>
      </c>
      <c r="J262" t="s">
        <v>57</v>
      </c>
      <c r="K262" t="s">
        <v>35</v>
      </c>
      <c r="L262">
        <v>9</v>
      </c>
    </row>
    <row r="263" spans="1:12" x14ac:dyDescent="0.25">
      <c r="A263">
        <v>260</v>
      </c>
      <c r="B263" s="1">
        <v>44456</v>
      </c>
      <c r="C263" t="s">
        <v>16</v>
      </c>
      <c r="D263" t="s">
        <v>23</v>
      </c>
      <c r="E263" t="s">
        <v>17</v>
      </c>
      <c r="F263">
        <v>4</v>
      </c>
      <c r="G263">
        <v>1500</v>
      </c>
      <c r="H263">
        <v>6000</v>
      </c>
      <c r="I263" t="s">
        <v>54</v>
      </c>
      <c r="J263" t="s">
        <v>57</v>
      </c>
      <c r="K263" t="s">
        <v>35</v>
      </c>
      <c r="L263">
        <v>9</v>
      </c>
    </row>
    <row r="264" spans="1:12" x14ac:dyDescent="0.25">
      <c r="A264">
        <v>261</v>
      </c>
      <c r="B264" s="1">
        <v>44457</v>
      </c>
      <c r="C264" t="s">
        <v>18</v>
      </c>
      <c r="D264" t="s">
        <v>23</v>
      </c>
      <c r="E264" t="s">
        <v>19</v>
      </c>
      <c r="F264">
        <v>3</v>
      </c>
      <c r="G264">
        <v>300</v>
      </c>
      <c r="H264">
        <v>900</v>
      </c>
      <c r="I264" t="s">
        <v>54</v>
      </c>
      <c r="J264" t="s">
        <v>57</v>
      </c>
      <c r="K264" t="s">
        <v>35</v>
      </c>
      <c r="L264">
        <v>9</v>
      </c>
    </row>
    <row r="265" spans="1:12" x14ac:dyDescent="0.25">
      <c r="A265">
        <v>262</v>
      </c>
      <c r="B265" s="1">
        <v>44458</v>
      </c>
      <c r="C265" t="s">
        <v>20</v>
      </c>
      <c r="D265" t="s">
        <v>23</v>
      </c>
      <c r="E265" t="s">
        <v>21</v>
      </c>
      <c r="F265">
        <v>2</v>
      </c>
      <c r="G265">
        <v>190</v>
      </c>
      <c r="H265">
        <v>380</v>
      </c>
      <c r="I265" t="s">
        <v>54</v>
      </c>
      <c r="J265" t="s">
        <v>57</v>
      </c>
      <c r="K265" t="s">
        <v>35</v>
      </c>
      <c r="L265">
        <v>9</v>
      </c>
    </row>
    <row r="266" spans="1:12" x14ac:dyDescent="0.25">
      <c r="A266">
        <v>263</v>
      </c>
      <c r="B266" s="1">
        <v>44459</v>
      </c>
      <c r="C266" t="s">
        <v>20</v>
      </c>
      <c r="D266" t="s">
        <v>9</v>
      </c>
      <c r="E266" t="s">
        <v>10</v>
      </c>
      <c r="F266">
        <v>2</v>
      </c>
      <c r="G266">
        <v>210</v>
      </c>
      <c r="H266">
        <v>420</v>
      </c>
      <c r="I266" t="s">
        <v>54</v>
      </c>
      <c r="J266" t="s">
        <v>57</v>
      </c>
      <c r="K266" t="s">
        <v>35</v>
      </c>
      <c r="L266">
        <v>9</v>
      </c>
    </row>
    <row r="267" spans="1:12" x14ac:dyDescent="0.25">
      <c r="A267">
        <v>264</v>
      </c>
      <c r="B267" s="1">
        <v>44460</v>
      </c>
      <c r="C267" t="s">
        <v>20</v>
      </c>
      <c r="D267" t="s">
        <v>12</v>
      </c>
      <c r="E267" t="s">
        <v>13</v>
      </c>
      <c r="F267">
        <v>7</v>
      </c>
      <c r="G267">
        <v>2100</v>
      </c>
      <c r="H267">
        <v>14700</v>
      </c>
      <c r="I267" t="s">
        <v>54</v>
      </c>
      <c r="J267" t="s">
        <v>57</v>
      </c>
      <c r="K267" t="s">
        <v>35</v>
      </c>
      <c r="L267">
        <v>9</v>
      </c>
    </row>
    <row r="268" spans="1:12" x14ac:dyDescent="0.25">
      <c r="A268">
        <v>265</v>
      </c>
      <c r="B268" s="1">
        <v>44461</v>
      </c>
      <c r="C268" t="s">
        <v>20</v>
      </c>
      <c r="D268" t="s">
        <v>22</v>
      </c>
      <c r="E268" t="s">
        <v>15</v>
      </c>
      <c r="F268">
        <v>6</v>
      </c>
      <c r="G268">
        <v>1200</v>
      </c>
      <c r="H268">
        <v>7200</v>
      </c>
      <c r="I268" t="s">
        <v>54</v>
      </c>
      <c r="J268" t="s">
        <v>57</v>
      </c>
      <c r="K268" t="s">
        <v>35</v>
      </c>
      <c r="L268">
        <v>9</v>
      </c>
    </row>
    <row r="269" spans="1:12" x14ac:dyDescent="0.25">
      <c r="A269">
        <v>266</v>
      </c>
      <c r="B269" s="1">
        <v>44462</v>
      </c>
      <c r="C269" t="s">
        <v>20</v>
      </c>
      <c r="D269" t="s">
        <v>23</v>
      </c>
      <c r="E269" t="s">
        <v>17</v>
      </c>
      <c r="F269">
        <v>5</v>
      </c>
      <c r="G269">
        <v>1500</v>
      </c>
      <c r="H269">
        <v>7500</v>
      </c>
      <c r="I269" t="s">
        <v>54</v>
      </c>
      <c r="J269" t="s">
        <v>57</v>
      </c>
      <c r="K269" t="s">
        <v>35</v>
      </c>
      <c r="L269">
        <v>9</v>
      </c>
    </row>
    <row r="270" spans="1:12" x14ac:dyDescent="0.25">
      <c r="A270">
        <v>267</v>
      </c>
      <c r="B270" s="1">
        <v>44463</v>
      </c>
      <c r="C270" t="s">
        <v>20</v>
      </c>
      <c r="D270" t="s">
        <v>9</v>
      </c>
      <c r="E270" t="s">
        <v>13</v>
      </c>
      <c r="F270">
        <v>7</v>
      </c>
      <c r="G270">
        <v>2100</v>
      </c>
      <c r="H270">
        <v>14700</v>
      </c>
      <c r="I270" t="s">
        <v>54</v>
      </c>
      <c r="J270" t="s">
        <v>57</v>
      </c>
      <c r="K270" t="s">
        <v>35</v>
      </c>
      <c r="L270">
        <v>9</v>
      </c>
    </row>
    <row r="271" spans="1:12" x14ac:dyDescent="0.25">
      <c r="A271">
        <v>268</v>
      </c>
      <c r="B271" s="1">
        <v>44464</v>
      </c>
      <c r="C271" t="s">
        <v>20</v>
      </c>
      <c r="D271" t="s">
        <v>12</v>
      </c>
      <c r="E271" t="s">
        <v>13</v>
      </c>
      <c r="F271">
        <v>7</v>
      </c>
      <c r="G271">
        <v>2100</v>
      </c>
      <c r="H271">
        <v>14700</v>
      </c>
      <c r="I271" t="s">
        <v>54</v>
      </c>
      <c r="J271" t="s">
        <v>57</v>
      </c>
      <c r="K271" t="s">
        <v>35</v>
      </c>
      <c r="L271">
        <v>9</v>
      </c>
    </row>
    <row r="272" spans="1:12" x14ac:dyDescent="0.25">
      <c r="A272">
        <v>269</v>
      </c>
      <c r="B272" s="1">
        <v>44465</v>
      </c>
      <c r="C272" t="s">
        <v>20</v>
      </c>
      <c r="D272" t="s">
        <v>22</v>
      </c>
      <c r="E272" t="s">
        <v>13</v>
      </c>
      <c r="F272">
        <v>7</v>
      </c>
      <c r="G272">
        <v>2100</v>
      </c>
      <c r="H272">
        <v>14700</v>
      </c>
      <c r="I272" t="s">
        <v>54</v>
      </c>
      <c r="J272" t="s">
        <v>57</v>
      </c>
      <c r="K272" t="s">
        <v>35</v>
      </c>
      <c r="L272">
        <v>9</v>
      </c>
    </row>
    <row r="273" spans="1:12" x14ac:dyDescent="0.25">
      <c r="A273">
        <v>270</v>
      </c>
      <c r="B273" s="1">
        <v>44466</v>
      </c>
      <c r="C273" t="s">
        <v>20</v>
      </c>
      <c r="D273" t="s">
        <v>23</v>
      </c>
      <c r="E273" t="s">
        <v>13</v>
      </c>
      <c r="F273">
        <v>7</v>
      </c>
      <c r="G273">
        <v>2100</v>
      </c>
      <c r="H273">
        <v>14700</v>
      </c>
      <c r="I273" t="s">
        <v>54</v>
      </c>
      <c r="J273" t="s">
        <v>57</v>
      </c>
      <c r="K273" t="s">
        <v>35</v>
      </c>
      <c r="L273">
        <v>9</v>
      </c>
    </row>
    <row r="274" spans="1:12" x14ac:dyDescent="0.25">
      <c r="A274">
        <v>271</v>
      </c>
      <c r="B274" s="1">
        <v>44467</v>
      </c>
      <c r="C274" t="s">
        <v>8</v>
      </c>
      <c r="D274" t="s">
        <v>9</v>
      </c>
      <c r="E274" t="s">
        <v>13</v>
      </c>
      <c r="F274">
        <v>7</v>
      </c>
      <c r="G274">
        <v>2100</v>
      </c>
      <c r="H274">
        <v>14700</v>
      </c>
      <c r="I274" t="s">
        <v>54</v>
      </c>
      <c r="J274" t="s">
        <v>57</v>
      </c>
      <c r="K274" t="s">
        <v>35</v>
      </c>
      <c r="L274">
        <v>9</v>
      </c>
    </row>
    <row r="275" spans="1:12" x14ac:dyDescent="0.25">
      <c r="A275">
        <v>272</v>
      </c>
      <c r="B275" s="1">
        <v>44468</v>
      </c>
      <c r="C275" t="s">
        <v>11</v>
      </c>
      <c r="D275" t="s">
        <v>12</v>
      </c>
      <c r="E275" t="s">
        <v>13</v>
      </c>
      <c r="F275">
        <v>7</v>
      </c>
      <c r="G275">
        <v>2100</v>
      </c>
      <c r="H275">
        <v>14700</v>
      </c>
      <c r="I275" t="s">
        <v>54</v>
      </c>
      <c r="J275" t="s">
        <v>57</v>
      </c>
      <c r="K275" t="s">
        <v>35</v>
      </c>
      <c r="L275">
        <v>9</v>
      </c>
    </row>
    <row r="276" spans="1:12" x14ac:dyDescent="0.25">
      <c r="A276">
        <v>273</v>
      </c>
      <c r="B276" s="1">
        <v>44469</v>
      </c>
      <c r="C276" t="s">
        <v>14</v>
      </c>
      <c r="D276" t="s">
        <v>9</v>
      </c>
      <c r="E276" t="s">
        <v>13</v>
      </c>
      <c r="F276">
        <v>7</v>
      </c>
      <c r="G276">
        <v>2100</v>
      </c>
      <c r="H276">
        <v>14700</v>
      </c>
      <c r="I276" t="s">
        <v>54</v>
      </c>
      <c r="J276" t="s">
        <v>57</v>
      </c>
      <c r="K276" t="s">
        <v>35</v>
      </c>
      <c r="L276">
        <v>9</v>
      </c>
    </row>
    <row r="277" spans="1:12" x14ac:dyDescent="0.25">
      <c r="A277">
        <v>274</v>
      </c>
      <c r="B277" s="1">
        <v>44470</v>
      </c>
      <c r="C277" t="s">
        <v>16</v>
      </c>
      <c r="D277" t="s">
        <v>12</v>
      </c>
      <c r="E277" t="s">
        <v>13</v>
      </c>
      <c r="F277">
        <v>7</v>
      </c>
      <c r="G277">
        <v>2100</v>
      </c>
      <c r="H277">
        <v>14700</v>
      </c>
      <c r="I277" t="s">
        <v>54</v>
      </c>
      <c r="J277" t="s">
        <v>58</v>
      </c>
      <c r="K277" t="s">
        <v>36</v>
      </c>
      <c r="L277">
        <v>10</v>
      </c>
    </row>
    <row r="278" spans="1:12" x14ac:dyDescent="0.25">
      <c r="A278">
        <v>275</v>
      </c>
      <c r="B278" s="1">
        <v>44471</v>
      </c>
      <c r="C278" t="s">
        <v>18</v>
      </c>
      <c r="D278" t="s">
        <v>9</v>
      </c>
      <c r="E278" t="s">
        <v>13</v>
      </c>
      <c r="F278">
        <v>7</v>
      </c>
      <c r="G278">
        <v>2100</v>
      </c>
      <c r="H278">
        <v>14700</v>
      </c>
      <c r="I278" t="s">
        <v>54</v>
      </c>
      <c r="J278" t="s">
        <v>58</v>
      </c>
      <c r="K278" t="s">
        <v>36</v>
      </c>
      <c r="L278">
        <v>10</v>
      </c>
    </row>
    <row r="279" spans="1:12" x14ac:dyDescent="0.25">
      <c r="A279">
        <v>276</v>
      </c>
      <c r="B279" s="1">
        <v>44472</v>
      </c>
      <c r="C279" t="s">
        <v>20</v>
      </c>
      <c r="D279" t="s">
        <v>9</v>
      </c>
      <c r="E279" t="s">
        <v>13</v>
      </c>
      <c r="F279">
        <v>7</v>
      </c>
      <c r="G279">
        <v>2100</v>
      </c>
      <c r="H279">
        <v>14700</v>
      </c>
      <c r="I279" t="s">
        <v>54</v>
      </c>
      <c r="J279" t="s">
        <v>58</v>
      </c>
      <c r="K279" t="s">
        <v>36</v>
      </c>
      <c r="L279">
        <v>10</v>
      </c>
    </row>
    <row r="280" spans="1:12" x14ac:dyDescent="0.25">
      <c r="A280">
        <v>277</v>
      </c>
      <c r="B280" s="1">
        <v>44473</v>
      </c>
      <c r="C280" t="s">
        <v>8</v>
      </c>
      <c r="D280" t="s">
        <v>9</v>
      </c>
      <c r="E280" t="s">
        <v>13</v>
      </c>
      <c r="F280">
        <v>7</v>
      </c>
      <c r="G280">
        <v>2100</v>
      </c>
      <c r="H280">
        <v>14700</v>
      </c>
      <c r="I280" t="s">
        <v>54</v>
      </c>
      <c r="J280" t="s">
        <v>58</v>
      </c>
      <c r="K280" t="s">
        <v>36</v>
      </c>
      <c r="L280">
        <v>10</v>
      </c>
    </row>
    <row r="281" spans="1:12" x14ac:dyDescent="0.25">
      <c r="A281">
        <v>278</v>
      </c>
      <c r="B281" s="1">
        <v>44474</v>
      </c>
      <c r="C281" t="s">
        <v>11</v>
      </c>
      <c r="D281" t="s">
        <v>12</v>
      </c>
      <c r="E281" t="s">
        <v>15</v>
      </c>
      <c r="F281">
        <v>5</v>
      </c>
      <c r="G281">
        <v>1200</v>
      </c>
      <c r="H281">
        <v>6000</v>
      </c>
      <c r="I281" t="s">
        <v>54</v>
      </c>
      <c r="J281" t="s">
        <v>58</v>
      </c>
      <c r="K281" t="s">
        <v>36</v>
      </c>
      <c r="L281">
        <v>10</v>
      </c>
    </row>
    <row r="282" spans="1:12" x14ac:dyDescent="0.25">
      <c r="A282">
        <v>279</v>
      </c>
      <c r="B282" s="1">
        <v>44475</v>
      </c>
      <c r="C282" t="s">
        <v>14</v>
      </c>
      <c r="D282" t="s">
        <v>12</v>
      </c>
      <c r="E282" t="s">
        <v>17</v>
      </c>
      <c r="F282">
        <v>4</v>
      </c>
      <c r="G282">
        <v>1500</v>
      </c>
      <c r="H282">
        <v>6000</v>
      </c>
      <c r="I282" t="s">
        <v>54</v>
      </c>
      <c r="J282" t="s">
        <v>58</v>
      </c>
      <c r="K282" t="s">
        <v>36</v>
      </c>
      <c r="L282">
        <v>10</v>
      </c>
    </row>
    <row r="283" spans="1:12" x14ac:dyDescent="0.25">
      <c r="A283">
        <v>280</v>
      </c>
      <c r="B283" s="1">
        <v>44476</v>
      </c>
      <c r="C283" t="s">
        <v>16</v>
      </c>
      <c r="D283" t="s">
        <v>9</v>
      </c>
      <c r="E283" t="s">
        <v>19</v>
      </c>
      <c r="F283">
        <v>3</v>
      </c>
      <c r="G283">
        <v>300</v>
      </c>
      <c r="H283">
        <v>900</v>
      </c>
      <c r="I283" t="s">
        <v>54</v>
      </c>
      <c r="J283" t="s">
        <v>58</v>
      </c>
      <c r="K283" t="s">
        <v>36</v>
      </c>
      <c r="L283">
        <v>10</v>
      </c>
    </row>
    <row r="284" spans="1:12" x14ac:dyDescent="0.25">
      <c r="A284">
        <v>281</v>
      </c>
      <c r="B284" s="1">
        <v>44477</v>
      </c>
      <c r="C284" t="s">
        <v>18</v>
      </c>
      <c r="D284" t="s">
        <v>9</v>
      </c>
      <c r="E284" t="s">
        <v>21</v>
      </c>
      <c r="F284">
        <v>2</v>
      </c>
      <c r="G284">
        <v>190</v>
      </c>
      <c r="H284">
        <v>380</v>
      </c>
      <c r="I284" t="s">
        <v>54</v>
      </c>
      <c r="J284" t="s">
        <v>58</v>
      </c>
      <c r="K284" t="s">
        <v>36</v>
      </c>
      <c r="L284">
        <v>10</v>
      </c>
    </row>
    <row r="285" spans="1:12" x14ac:dyDescent="0.25">
      <c r="A285">
        <v>282</v>
      </c>
      <c r="B285" s="1">
        <v>44478</v>
      </c>
      <c r="C285" t="s">
        <v>20</v>
      </c>
      <c r="D285" t="s">
        <v>12</v>
      </c>
      <c r="E285" t="s">
        <v>10</v>
      </c>
      <c r="F285">
        <v>7</v>
      </c>
      <c r="G285">
        <v>210</v>
      </c>
      <c r="H285">
        <v>1470</v>
      </c>
      <c r="I285" t="s">
        <v>54</v>
      </c>
      <c r="J285" t="s">
        <v>58</v>
      </c>
      <c r="K285" t="s">
        <v>36</v>
      </c>
      <c r="L285">
        <v>10</v>
      </c>
    </row>
    <row r="286" spans="1:12" x14ac:dyDescent="0.25">
      <c r="A286">
        <v>283</v>
      </c>
      <c r="B286" s="1">
        <v>44479</v>
      </c>
      <c r="C286" t="s">
        <v>20</v>
      </c>
      <c r="D286" t="s">
        <v>9</v>
      </c>
      <c r="E286" t="s">
        <v>13</v>
      </c>
      <c r="F286">
        <v>6</v>
      </c>
      <c r="G286">
        <v>2100</v>
      </c>
      <c r="H286">
        <v>12600</v>
      </c>
      <c r="I286" t="s">
        <v>54</v>
      </c>
      <c r="J286" t="s">
        <v>58</v>
      </c>
      <c r="K286" t="s">
        <v>36</v>
      </c>
      <c r="L286">
        <v>10</v>
      </c>
    </row>
    <row r="287" spans="1:12" x14ac:dyDescent="0.25">
      <c r="A287">
        <v>284</v>
      </c>
      <c r="B287" s="1">
        <v>44480</v>
      </c>
      <c r="C287" t="s">
        <v>8</v>
      </c>
      <c r="D287" t="s">
        <v>9</v>
      </c>
      <c r="E287" t="s">
        <v>15</v>
      </c>
      <c r="F287">
        <v>5</v>
      </c>
      <c r="G287">
        <v>1200</v>
      </c>
      <c r="H287">
        <v>6000</v>
      </c>
      <c r="I287" t="s">
        <v>54</v>
      </c>
      <c r="J287" t="s">
        <v>58</v>
      </c>
      <c r="K287" t="s">
        <v>36</v>
      </c>
      <c r="L287">
        <v>10</v>
      </c>
    </row>
    <row r="288" spans="1:12" x14ac:dyDescent="0.25">
      <c r="A288">
        <v>285</v>
      </c>
      <c r="B288" s="1">
        <v>44481</v>
      </c>
      <c r="C288" t="s">
        <v>11</v>
      </c>
      <c r="D288" t="s">
        <v>9</v>
      </c>
      <c r="E288" t="s">
        <v>17</v>
      </c>
      <c r="F288">
        <v>4</v>
      </c>
      <c r="G288">
        <v>1500</v>
      </c>
      <c r="H288">
        <v>6000</v>
      </c>
      <c r="I288" t="s">
        <v>54</v>
      </c>
      <c r="J288" t="s">
        <v>58</v>
      </c>
      <c r="K288" t="s">
        <v>36</v>
      </c>
      <c r="L288">
        <v>10</v>
      </c>
    </row>
    <row r="289" spans="1:12" x14ac:dyDescent="0.25">
      <c r="A289">
        <v>286</v>
      </c>
      <c r="B289" s="1">
        <v>44482</v>
      </c>
      <c r="C289" t="s">
        <v>14</v>
      </c>
      <c r="D289" t="s">
        <v>9</v>
      </c>
      <c r="E289" t="s">
        <v>19</v>
      </c>
      <c r="F289">
        <v>3</v>
      </c>
      <c r="G289">
        <v>300</v>
      </c>
      <c r="H289">
        <v>900</v>
      </c>
      <c r="I289" t="s">
        <v>54</v>
      </c>
      <c r="J289" t="s">
        <v>58</v>
      </c>
      <c r="K289" t="s">
        <v>36</v>
      </c>
      <c r="L289">
        <v>10</v>
      </c>
    </row>
    <row r="290" spans="1:12" x14ac:dyDescent="0.25">
      <c r="A290">
        <v>287</v>
      </c>
      <c r="B290" s="1">
        <v>44483</v>
      </c>
      <c r="C290" t="s">
        <v>16</v>
      </c>
      <c r="D290" t="s">
        <v>9</v>
      </c>
      <c r="E290" t="s">
        <v>21</v>
      </c>
      <c r="F290">
        <v>2</v>
      </c>
      <c r="G290">
        <v>190</v>
      </c>
      <c r="H290">
        <v>380</v>
      </c>
      <c r="I290" t="s">
        <v>54</v>
      </c>
      <c r="J290" t="s">
        <v>58</v>
      </c>
      <c r="K290" t="s">
        <v>36</v>
      </c>
      <c r="L290">
        <v>10</v>
      </c>
    </row>
    <row r="291" spans="1:12" x14ac:dyDescent="0.25">
      <c r="A291">
        <v>288</v>
      </c>
      <c r="B291" s="1">
        <v>44484</v>
      </c>
      <c r="C291" t="s">
        <v>18</v>
      </c>
      <c r="D291" t="s">
        <v>9</v>
      </c>
      <c r="E291" t="s">
        <v>10</v>
      </c>
      <c r="F291">
        <v>2</v>
      </c>
      <c r="G291">
        <v>210</v>
      </c>
      <c r="H291">
        <v>420</v>
      </c>
      <c r="I291" t="s">
        <v>54</v>
      </c>
      <c r="J291" t="s">
        <v>58</v>
      </c>
      <c r="K291" t="s">
        <v>36</v>
      </c>
      <c r="L291">
        <v>10</v>
      </c>
    </row>
    <row r="292" spans="1:12" x14ac:dyDescent="0.25">
      <c r="A292">
        <v>289</v>
      </c>
      <c r="B292" s="1">
        <v>44485</v>
      </c>
      <c r="C292" t="s">
        <v>20</v>
      </c>
      <c r="D292" t="s">
        <v>9</v>
      </c>
      <c r="E292" t="s">
        <v>13</v>
      </c>
      <c r="F292">
        <v>7</v>
      </c>
      <c r="G292">
        <v>2100</v>
      </c>
      <c r="H292">
        <v>14700</v>
      </c>
      <c r="I292" t="s">
        <v>54</v>
      </c>
      <c r="J292" t="s">
        <v>58</v>
      </c>
      <c r="K292" t="s">
        <v>36</v>
      </c>
      <c r="L292">
        <v>10</v>
      </c>
    </row>
    <row r="293" spans="1:12" x14ac:dyDescent="0.25">
      <c r="A293">
        <v>290</v>
      </c>
      <c r="B293" s="1">
        <v>44486</v>
      </c>
      <c r="C293" t="s">
        <v>8</v>
      </c>
      <c r="D293" t="s">
        <v>9</v>
      </c>
      <c r="E293" t="s">
        <v>15</v>
      </c>
      <c r="F293">
        <v>6</v>
      </c>
      <c r="G293">
        <v>1200</v>
      </c>
      <c r="H293">
        <v>7200</v>
      </c>
      <c r="I293" t="s">
        <v>54</v>
      </c>
      <c r="J293" t="s">
        <v>58</v>
      </c>
      <c r="K293" t="s">
        <v>36</v>
      </c>
      <c r="L293">
        <v>10</v>
      </c>
    </row>
    <row r="294" spans="1:12" x14ac:dyDescent="0.25">
      <c r="A294">
        <v>291</v>
      </c>
      <c r="B294" s="1">
        <v>44487</v>
      </c>
      <c r="C294" t="s">
        <v>11</v>
      </c>
      <c r="D294" t="s">
        <v>12</v>
      </c>
      <c r="E294" t="s">
        <v>17</v>
      </c>
      <c r="F294">
        <v>5</v>
      </c>
      <c r="G294">
        <v>1500</v>
      </c>
      <c r="H294">
        <v>7500</v>
      </c>
      <c r="I294" t="s">
        <v>54</v>
      </c>
      <c r="J294" t="s">
        <v>58</v>
      </c>
      <c r="K294" t="s">
        <v>36</v>
      </c>
      <c r="L294">
        <v>10</v>
      </c>
    </row>
    <row r="295" spans="1:12" x14ac:dyDescent="0.25">
      <c r="A295">
        <v>292</v>
      </c>
      <c r="B295" s="1">
        <v>44488</v>
      </c>
      <c r="C295" t="s">
        <v>14</v>
      </c>
      <c r="D295" t="s">
        <v>9</v>
      </c>
      <c r="E295" t="s">
        <v>19</v>
      </c>
      <c r="F295">
        <v>4</v>
      </c>
      <c r="G295">
        <v>300</v>
      </c>
      <c r="H295">
        <v>1200</v>
      </c>
      <c r="I295" t="s">
        <v>54</v>
      </c>
      <c r="J295" t="s">
        <v>58</v>
      </c>
      <c r="K295" t="s">
        <v>36</v>
      </c>
      <c r="L295">
        <v>10</v>
      </c>
    </row>
    <row r="296" spans="1:12" x14ac:dyDescent="0.25">
      <c r="A296">
        <v>293</v>
      </c>
      <c r="B296" s="1">
        <v>44489</v>
      </c>
      <c r="C296" t="s">
        <v>16</v>
      </c>
      <c r="D296" t="s">
        <v>12</v>
      </c>
      <c r="E296" t="s">
        <v>17</v>
      </c>
      <c r="F296">
        <v>5</v>
      </c>
      <c r="G296">
        <v>1500</v>
      </c>
      <c r="H296">
        <v>7500</v>
      </c>
      <c r="I296" t="s">
        <v>54</v>
      </c>
      <c r="J296" t="s">
        <v>58</v>
      </c>
      <c r="K296" t="s">
        <v>36</v>
      </c>
      <c r="L296">
        <v>10</v>
      </c>
    </row>
    <row r="297" spans="1:12" x14ac:dyDescent="0.25">
      <c r="A297">
        <v>294</v>
      </c>
      <c r="B297" s="1">
        <v>44490</v>
      </c>
      <c r="C297" t="s">
        <v>18</v>
      </c>
      <c r="D297" t="s">
        <v>9</v>
      </c>
      <c r="E297" t="s">
        <v>19</v>
      </c>
      <c r="F297">
        <v>4</v>
      </c>
      <c r="G297">
        <v>300</v>
      </c>
      <c r="H297">
        <v>1200</v>
      </c>
      <c r="I297" t="s">
        <v>54</v>
      </c>
      <c r="J297" t="s">
        <v>58</v>
      </c>
      <c r="K297" t="s">
        <v>36</v>
      </c>
      <c r="L297">
        <v>10</v>
      </c>
    </row>
    <row r="298" spans="1:12" x14ac:dyDescent="0.25">
      <c r="A298">
        <v>295</v>
      </c>
      <c r="B298" s="1">
        <v>44491</v>
      </c>
      <c r="C298" t="s">
        <v>20</v>
      </c>
      <c r="D298" t="s">
        <v>9</v>
      </c>
      <c r="E298" t="s">
        <v>17</v>
      </c>
      <c r="F298">
        <v>5</v>
      </c>
      <c r="G298">
        <v>1500</v>
      </c>
      <c r="H298">
        <v>7500</v>
      </c>
      <c r="I298" t="s">
        <v>54</v>
      </c>
      <c r="J298" t="s">
        <v>58</v>
      </c>
      <c r="K298" t="s">
        <v>36</v>
      </c>
      <c r="L298">
        <v>10</v>
      </c>
    </row>
    <row r="299" spans="1:12" x14ac:dyDescent="0.25">
      <c r="A299">
        <v>296</v>
      </c>
      <c r="B299" s="1">
        <v>44492</v>
      </c>
      <c r="C299" t="s">
        <v>20</v>
      </c>
      <c r="D299" t="s">
        <v>9</v>
      </c>
      <c r="E299" t="s">
        <v>19</v>
      </c>
      <c r="F299">
        <v>4</v>
      </c>
      <c r="G299">
        <v>300</v>
      </c>
      <c r="H299">
        <v>1200</v>
      </c>
      <c r="I299" t="s">
        <v>54</v>
      </c>
      <c r="J299" t="s">
        <v>58</v>
      </c>
      <c r="K299" t="s">
        <v>36</v>
      </c>
      <c r="L299">
        <v>10</v>
      </c>
    </row>
    <row r="300" spans="1:12" x14ac:dyDescent="0.25">
      <c r="A300">
        <v>297</v>
      </c>
      <c r="B300" s="1">
        <v>44493</v>
      </c>
      <c r="C300" t="s">
        <v>8</v>
      </c>
      <c r="D300" t="s">
        <v>9</v>
      </c>
      <c r="E300" t="s">
        <v>17</v>
      </c>
      <c r="F300">
        <v>5</v>
      </c>
      <c r="G300">
        <v>1500</v>
      </c>
      <c r="H300">
        <v>7500</v>
      </c>
      <c r="I300" t="s">
        <v>54</v>
      </c>
      <c r="J300" t="s">
        <v>58</v>
      </c>
      <c r="K300" t="s">
        <v>36</v>
      </c>
      <c r="L300">
        <v>10</v>
      </c>
    </row>
    <row r="301" spans="1:12" x14ac:dyDescent="0.25">
      <c r="A301">
        <v>298</v>
      </c>
      <c r="B301" s="1">
        <v>44494</v>
      </c>
      <c r="C301" t="s">
        <v>8</v>
      </c>
      <c r="D301" t="s">
        <v>12</v>
      </c>
      <c r="E301" t="s">
        <v>19</v>
      </c>
      <c r="F301">
        <v>4</v>
      </c>
      <c r="G301">
        <v>300</v>
      </c>
      <c r="H301">
        <v>1200</v>
      </c>
      <c r="I301" t="s">
        <v>54</v>
      </c>
      <c r="J301" t="s">
        <v>58</v>
      </c>
      <c r="K301" t="s">
        <v>36</v>
      </c>
      <c r="L301">
        <v>10</v>
      </c>
    </row>
    <row r="302" spans="1:12" x14ac:dyDescent="0.25">
      <c r="A302">
        <v>299</v>
      </c>
      <c r="B302" s="1">
        <v>44495</v>
      </c>
      <c r="C302" t="s">
        <v>8</v>
      </c>
      <c r="D302" t="s">
        <v>22</v>
      </c>
      <c r="E302" t="s">
        <v>17</v>
      </c>
      <c r="F302">
        <v>5</v>
      </c>
      <c r="G302">
        <v>1500</v>
      </c>
      <c r="H302">
        <v>7500</v>
      </c>
      <c r="I302" t="s">
        <v>54</v>
      </c>
      <c r="J302" t="s">
        <v>58</v>
      </c>
      <c r="K302" t="s">
        <v>36</v>
      </c>
      <c r="L302">
        <v>10</v>
      </c>
    </row>
    <row r="303" spans="1:12" x14ac:dyDescent="0.25">
      <c r="A303">
        <v>300</v>
      </c>
      <c r="B303" s="1">
        <v>44496</v>
      </c>
      <c r="C303" t="s">
        <v>8</v>
      </c>
      <c r="D303" t="s">
        <v>23</v>
      </c>
      <c r="E303" t="s">
        <v>19</v>
      </c>
      <c r="F303">
        <v>4</v>
      </c>
      <c r="G303">
        <v>300</v>
      </c>
      <c r="H303">
        <v>1200</v>
      </c>
      <c r="I303" t="s">
        <v>54</v>
      </c>
      <c r="J303" t="s">
        <v>58</v>
      </c>
      <c r="K303" t="s">
        <v>36</v>
      </c>
      <c r="L303">
        <v>10</v>
      </c>
    </row>
    <row r="304" spans="1:12" x14ac:dyDescent="0.25">
      <c r="A304">
        <v>301</v>
      </c>
      <c r="B304" s="1">
        <v>44497</v>
      </c>
      <c r="C304" t="s">
        <v>8</v>
      </c>
      <c r="D304" t="s">
        <v>9</v>
      </c>
      <c r="E304" t="s">
        <v>17</v>
      </c>
      <c r="F304">
        <v>5</v>
      </c>
      <c r="G304">
        <v>1500</v>
      </c>
      <c r="H304">
        <v>7500</v>
      </c>
      <c r="I304" t="s">
        <v>54</v>
      </c>
      <c r="J304" t="s">
        <v>58</v>
      </c>
      <c r="K304" t="s">
        <v>36</v>
      </c>
      <c r="L304">
        <v>10</v>
      </c>
    </row>
    <row r="305" spans="1:12" x14ac:dyDescent="0.25">
      <c r="A305">
        <v>302</v>
      </c>
      <c r="B305" s="1">
        <v>44498</v>
      </c>
      <c r="C305" t="s">
        <v>8</v>
      </c>
      <c r="D305" t="s">
        <v>12</v>
      </c>
      <c r="E305" t="s">
        <v>13</v>
      </c>
      <c r="F305">
        <v>6</v>
      </c>
      <c r="G305">
        <v>2100</v>
      </c>
      <c r="H305">
        <v>12600</v>
      </c>
      <c r="I305" t="s">
        <v>54</v>
      </c>
      <c r="J305" t="s">
        <v>58</v>
      </c>
      <c r="K305" t="s">
        <v>36</v>
      </c>
      <c r="L305">
        <v>10</v>
      </c>
    </row>
    <row r="306" spans="1:12" x14ac:dyDescent="0.25">
      <c r="A306">
        <v>303</v>
      </c>
      <c r="B306" s="1">
        <v>44499</v>
      </c>
      <c r="C306" t="s">
        <v>8</v>
      </c>
      <c r="D306" t="s">
        <v>22</v>
      </c>
      <c r="E306" t="s">
        <v>15</v>
      </c>
      <c r="F306">
        <v>5</v>
      </c>
      <c r="G306">
        <v>1200</v>
      </c>
      <c r="H306">
        <v>6000</v>
      </c>
      <c r="I306" t="s">
        <v>54</v>
      </c>
      <c r="J306" t="s">
        <v>58</v>
      </c>
      <c r="K306" t="s">
        <v>36</v>
      </c>
      <c r="L306">
        <v>10</v>
      </c>
    </row>
    <row r="307" spans="1:12" x14ac:dyDescent="0.25">
      <c r="A307">
        <v>304</v>
      </c>
      <c r="B307" s="1">
        <v>44500</v>
      </c>
      <c r="C307" t="s">
        <v>8</v>
      </c>
      <c r="D307" t="s">
        <v>23</v>
      </c>
      <c r="E307" t="s">
        <v>17</v>
      </c>
      <c r="F307">
        <v>4</v>
      </c>
      <c r="G307">
        <v>1500</v>
      </c>
      <c r="H307">
        <v>6000</v>
      </c>
      <c r="I307" t="s">
        <v>54</v>
      </c>
      <c r="J307" t="s">
        <v>58</v>
      </c>
      <c r="K307" t="s">
        <v>36</v>
      </c>
      <c r="L307">
        <v>10</v>
      </c>
    </row>
    <row r="308" spans="1:12" x14ac:dyDescent="0.25">
      <c r="A308">
        <v>305</v>
      </c>
      <c r="B308" s="1">
        <v>44501</v>
      </c>
      <c r="C308" t="s">
        <v>11</v>
      </c>
      <c r="D308" t="s">
        <v>12</v>
      </c>
      <c r="E308" t="s">
        <v>19</v>
      </c>
      <c r="F308">
        <v>3</v>
      </c>
      <c r="G308">
        <v>300</v>
      </c>
      <c r="H308">
        <v>900</v>
      </c>
      <c r="I308" t="s">
        <v>54</v>
      </c>
      <c r="J308" t="s">
        <v>58</v>
      </c>
      <c r="K308" t="s">
        <v>37</v>
      </c>
      <c r="L308">
        <v>11</v>
      </c>
    </row>
    <row r="309" spans="1:12" x14ac:dyDescent="0.25">
      <c r="A309">
        <v>306</v>
      </c>
      <c r="B309" s="1">
        <v>44502</v>
      </c>
      <c r="C309" t="s">
        <v>11</v>
      </c>
      <c r="D309" t="s">
        <v>9</v>
      </c>
      <c r="E309" t="s">
        <v>21</v>
      </c>
      <c r="F309">
        <v>2</v>
      </c>
      <c r="G309">
        <v>190</v>
      </c>
      <c r="H309">
        <v>380</v>
      </c>
      <c r="I309" t="s">
        <v>54</v>
      </c>
      <c r="J309" t="s">
        <v>58</v>
      </c>
      <c r="K309" t="s">
        <v>37</v>
      </c>
      <c r="L309">
        <v>11</v>
      </c>
    </row>
    <row r="310" spans="1:12" x14ac:dyDescent="0.25">
      <c r="A310">
        <v>307</v>
      </c>
      <c r="B310" s="1">
        <v>44503</v>
      </c>
      <c r="C310" t="s">
        <v>11</v>
      </c>
      <c r="D310" t="s">
        <v>22</v>
      </c>
      <c r="E310" t="s">
        <v>21</v>
      </c>
      <c r="F310">
        <v>2</v>
      </c>
      <c r="G310">
        <v>190</v>
      </c>
      <c r="H310">
        <v>380</v>
      </c>
      <c r="I310" t="s">
        <v>54</v>
      </c>
      <c r="J310" t="s">
        <v>58</v>
      </c>
      <c r="K310" t="s">
        <v>37</v>
      </c>
      <c r="L310">
        <v>11</v>
      </c>
    </row>
    <row r="311" spans="1:12" x14ac:dyDescent="0.25">
      <c r="A311">
        <v>308</v>
      </c>
      <c r="B311" s="1">
        <v>44504</v>
      </c>
      <c r="C311" t="s">
        <v>11</v>
      </c>
      <c r="D311" t="s">
        <v>23</v>
      </c>
      <c r="E311" t="s">
        <v>21</v>
      </c>
      <c r="F311">
        <v>2</v>
      </c>
      <c r="G311">
        <v>190</v>
      </c>
      <c r="H311">
        <v>380</v>
      </c>
      <c r="I311" t="s">
        <v>54</v>
      </c>
      <c r="J311" t="s">
        <v>58</v>
      </c>
      <c r="K311" t="s">
        <v>37</v>
      </c>
      <c r="L311">
        <v>11</v>
      </c>
    </row>
    <row r="312" spans="1:12" x14ac:dyDescent="0.25">
      <c r="A312">
        <v>309</v>
      </c>
      <c r="B312" s="1">
        <v>44505</v>
      </c>
      <c r="C312" t="s">
        <v>11</v>
      </c>
      <c r="D312" t="s">
        <v>12</v>
      </c>
      <c r="E312" t="s">
        <v>21</v>
      </c>
      <c r="F312">
        <v>2</v>
      </c>
      <c r="G312">
        <v>190</v>
      </c>
      <c r="H312">
        <v>380</v>
      </c>
      <c r="I312" t="s">
        <v>54</v>
      </c>
      <c r="J312" t="s">
        <v>58</v>
      </c>
      <c r="K312" t="s">
        <v>37</v>
      </c>
      <c r="L312">
        <v>11</v>
      </c>
    </row>
    <row r="313" spans="1:12" x14ac:dyDescent="0.25">
      <c r="A313">
        <v>310</v>
      </c>
      <c r="B313" s="1">
        <v>44506</v>
      </c>
      <c r="C313" t="s">
        <v>11</v>
      </c>
      <c r="D313" t="s">
        <v>9</v>
      </c>
      <c r="E313" t="s">
        <v>21</v>
      </c>
      <c r="F313">
        <v>2</v>
      </c>
      <c r="G313">
        <v>190</v>
      </c>
      <c r="H313">
        <v>380</v>
      </c>
      <c r="I313" t="s">
        <v>54</v>
      </c>
      <c r="J313" t="s">
        <v>58</v>
      </c>
      <c r="K313" t="s">
        <v>37</v>
      </c>
      <c r="L313">
        <v>11</v>
      </c>
    </row>
    <row r="314" spans="1:12" x14ac:dyDescent="0.25">
      <c r="A314">
        <v>311</v>
      </c>
      <c r="B314" s="1">
        <v>44507</v>
      </c>
      <c r="C314" t="s">
        <v>11</v>
      </c>
      <c r="D314" t="s">
        <v>22</v>
      </c>
      <c r="E314" t="s">
        <v>21</v>
      </c>
      <c r="F314">
        <v>2</v>
      </c>
      <c r="G314">
        <v>190</v>
      </c>
      <c r="H314">
        <v>380</v>
      </c>
      <c r="I314" t="s">
        <v>54</v>
      </c>
      <c r="J314" t="s">
        <v>58</v>
      </c>
      <c r="K314" t="s">
        <v>37</v>
      </c>
      <c r="L314">
        <v>11</v>
      </c>
    </row>
    <row r="315" spans="1:12" x14ac:dyDescent="0.25">
      <c r="A315">
        <v>312</v>
      </c>
      <c r="B315" s="1">
        <v>44508</v>
      </c>
      <c r="C315" t="s">
        <v>11</v>
      </c>
      <c r="D315" t="s">
        <v>23</v>
      </c>
      <c r="E315" t="s">
        <v>21</v>
      </c>
      <c r="F315">
        <v>2</v>
      </c>
      <c r="G315">
        <v>190</v>
      </c>
      <c r="H315">
        <v>380</v>
      </c>
      <c r="I315" t="s">
        <v>54</v>
      </c>
      <c r="J315" t="s">
        <v>58</v>
      </c>
      <c r="K315" t="s">
        <v>37</v>
      </c>
      <c r="L315">
        <v>11</v>
      </c>
    </row>
    <row r="316" spans="1:12" x14ac:dyDescent="0.25">
      <c r="A316">
        <v>313</v>
      </c>
      <c r="B316" s="1">
        <v>44509</v>
      </c>
      <c r="C316" t="s">
        <v>14</v>
      </c>
      <c r="D316" t="s">
        <v>23</v>
      </c>
      <c r="E316" t="s">
        <v>21</v>
      </c>
      <c r="F316">
        <v>2</v>
      </c>
      <c r="G316">
        <v>190</v>
      </c>
      <c r="H316">
        <v>380</v>
      </c>
      <c r="I316" t="s">
        <v>54</v>
      </c>
      <c r="J316" t="s">
        <v>58</v>
      </c>
      <c r="K316" t="s">
        <v>37</v>
      </c>
      <c r="L316">
        <v>11</v>
      </c>
    </row>
    <row r="317" spans="1:12" x14ac:dyDescent="0.25">
      <c r="A317">
        <v>314</v>
      </c>
      <c r="B317" s="1">
        <v>44510</v>
      </c>
      <c r="C317" t="s">
        <v>16</v>
      </c>
      <c r="D317" t="s">
        <v>23</v>
      </c>
      <c r="E317" t="s">
        <v>21</v>
      </c>
      <c r="F317">
        <v>2</v>
      </c>
      <c r="G317">
        <v>190</v>
      </c>
      <c r="H317">
        <v>380</v>
      </c>
      <c r="I317" t="s">
        <v>54</v>
      </c>
      <c r="J317" t="s">
        <v>58</v>
      </c>
      <c r="K317" t="s">
        <v>37</v>
      </c>
      <c r="L317">
        <v>11</v>
      </c>
    </row>
    <row r="318" spans="1:12" x14ac:dyDescent="0.25">
      <c r="A318">
        <v>315</v>
      </c>
      <c r="B318" s="1">
        <v>44511</v>
      </c>
      <c r="C318" t="s">
        <v>18</v>
      </c>
      <c r="D318" t="s">
        <v>23</v>
      </c>
      <c r="E318" t="s">
        <v>21</v>
      </c>
      <c r="F318">
        <v>2</v>
      </c>
      <c r="G318">
        <v>190</v>
      </c>
      <c r="H318">
        <v>380</v>
      </c>
      <c r="I318" t="s">
        <v>54</v>
      </c>
      <c r="J318" t="s">
        <v>58</v>
      </c>
      <c r="K318" t="s">
        <v>37</v>
      </c>
      <c r="L318">
        <v>11</v>
      </c>
    </row>
    <row r="319" spans="1:12" x14ac:dyDescent="0.25">
      <c r="A319">
        <v>316</v>
      </c>
      <c r="B319" s="1">
        <v>44512</v>
      </c>
      <c r="C319" t="s">
        <v>20</v>
      </c>
      <c r="D319" t="s">
        <v>23</v>
      </c>
      <c r="E319" t="s">
        <v>21</v>
      </c>
      <c r="F319">
        <v>2</v>
      </c>
      <c r="G319">
        <v>190</v>
      </c>
      <c r="H319">
        <v>380</v>
      </c>
      <c r="I319" t="s">
        <v>54</v>
      </c>
      <c r="J319" t="s">
        <v>58</v>
      </c>
      <c r="K319" t="s">
        <v>37</v>
      </c>
      <c r="L319">
        <v>11</v>
      </c>
    </row>
    <row r="320" spans="1:12" x14ac:dyDescent="0.25">
      <c r="A320">
        <v>317</v>
      </c>
      <c r="B320" s="1">
        <v>44513</v>
      </c>
      <c r="C320" t="s">
        <v>20</v>
      </c>
      <c r="D320" t="s">
        <v>9</v>
      </c>
      <c r="E320" t="s">
        <v>21</v>
      </c>
      <c r="F320">
        <v>2</v>
      </c>
      <c r="G320">
        <v>190</v>
      </c>
      <c r="H320">
        <v>380</v>
      </c>
      <c r="I320" t="s">
        <v>54</v>
      </c>
      <c r="J320" t="s">
        <v>58</v>
      </c>
      <c r="K320" t="s">
        <v>37</v>
      </c>
      <c r="L320">
        <v>11</v>
      </c>
    </row>
    <row r="321" spans="1:12" x14ac:dyDescent="0.25">
      <c r="A321">
        <v>318</v>
      </c>
      <c r="B321" s="1">
        <v>44514</v>
      </c>
      <c r="C321" t="s">
        <v>20</v>
      </c>
      <c r="D321" t="s">
        <v>12</v>
      </c>
      <c r="E321" t="s">
        <v>21</v>
      </c>
      <c r="F321">
        <v>3</v>
      </c>
      <c r="G321">
        <v>190</v>
      </c>
      <c r="H321">
        <v>570</v>
      </c>
      <c r="I321" t="s">
        <v>54</v>
      </c>
      <c r="J321" t="s">
        <v>58</v>
      </c>
      <c r="K321" t="s">
        <v>37</v>
      </c>
      <c r="L321">
        <v>11</v>
      </c>
    </row>
    <row r="322" spans="1:12" x14ac:dyDescent="0.25">
      <c r="A322">
        <v>319</v>
      </c>
      <c r="B322" s="1">
        <v>44515</v>
      </c>
      <c r="C322" t="s">
        <v>20</v>
      </c>
      <c r="D322" t="s">
        <v>22</v>
      </c>
      <c r="E322" t="s">
        <v>10</v>
      </c>
      <c r="F322">
        <v>2</v>
      </c>
      <c r="G322">
        <v>210</v>
      </c>
      <c r="H322">
        <v>420</v>
      </c>
      <c r="I322" t="s">
        <v>54</v>
      </c>
      <c r="J322" t="s">
        <v>58</v>
      </c>
      <c r="K322" t="s">
        <v>37</v>
      </c>
      <c r="L322">
        <v>11</v>
      </c>
    </row>
    <row r="323" spans="1:12" x14ac:dyDescent="0.25">
      <c r="A323">
        <v>320</v>
      </c>
      <c r="B323" s="1">
        <v>44516</v>
      </c>
      <c r="C323" t="s">
        <v>20</v>
      </c>
      <c r="D323" t="s">
        <v>23</v>
      </c>
      <c r="E323" t="s">
        <v>10</v>
      </c>
      <c r="F323">
        <v>2</v>
      </c>
      <c r="G323">
        <v>210</v>
      </c>
      <c r="H323">
        <v>420</v>
      </c>
      <c r="I323" t="s">
        <v>54</v>
      </c>
      <c r="J323" t="s">
        <v>58</v>
      </c>
      <c r="K323" t="s">
        <v>37</v>
      </c>
      <c r="L323">
        <v>11</v>
      </c>
    </row>
    <row r="324" spans="1:12" x14ac:dyDescent="0.25">
      <c r="A324">
        <v>321</v>
      </c>
      <c r="B324" s="1">
        <v>44517</v>
      </c>
      <c r="C324" t="s">
        <v>20</v>
      </c>
      <c r="D324" t="s">
        <v>9</v>
      </c>
      <c r="E324" t="s">
        <v>10</v>
      </c>
      <c r="F324">
        <v>2</v>
      </c>
      <c r="G324">
        <v>210</v>
      </c>
      <c r="H324">
        <v>420</v>
      </c>
      <c r="I324" t="s">
        <v>54</v>
      </c>
      <c r="J324" t="s">
        <v>58</v>
      </c>
      <c r="K324" t="s">
        <v>37</v>
      </c>
      <c r="L324">
        <v>11</v>
      </c>
    </row>
    <row r="325" spans="1:12" x14ac:dyDescent="0.25">
      <c r="A325">
        <v>322</v>
      </c>
      <c r="B325" s="1">
        <v>44518</v>
      </c>
      <c r="C325" t="s">
        <v>20</v>
      </c>
      <c r="D325" t="s">
        <v>12</v>
      </c>
      <c r="E325" t="s">
        <v>10</v>
      </c>
      <c r="F325">
        <v>2</v>
      </c>
      <c r="G325">
        <v>210</v>
      </c>
      <c r="H325">
        <v>420</v>
      </c>
      <c r="I325" t="s">
        <v>54</v>
      </c>
      <c r="J325" t="s">
        <v>58</v>
      </c>
      <c r="K325" t="s">
        <v>37</v>
      </c>
      <c r="L325">
        <v>11</v>
      </c>
    </row>
    <row r="326" spans="1:12" x14ac:dyDescent="0.25">
      <c r="A326">
        <v>323</v>
      </c>
      <c r="B326" s="1">
        <v>44519</v>
      </c>
      <c r="C326" t="s">
        <v>20</v>
      </c>
      <c r="D326" t="s">
        <v>22</v>
      </c>
      <c r="E326" t="s">
        <v>10</v>
      </c>
      <c r="F326">
        <v>2</v>
      </c>
      <c r="G326">
        <v>210</v>
      </c>
      <c r="H326">
        <v>420</v>
      </c>
      <c r="I326" t="s">
        <v>54</v>
      </c>
      <c r="J326" t="s">
        <v>58</v>
      </c>
      <c r="K326" t="s">
        <v>37</v>
      </c>
      <c r="L326">
        <v>11</v>
      </c>
    </row>
    <row r="327" spans="1:12" x14ac:dyDescent="0.25">
      <c r="A327">
        <v>324</v>
      </c>
      <c r="B327" s="1">
        <v>44520</v>
      </c>
      <c r="C327" t="s">
        <v>20</v>
      </c>
      <c r="D327" t="s">
        <v>23</v>
      </c>
      <c r="E327" t="s">
        <v>10</v>
      </c>
      <c r="F327">
        <v>2</v>
      </c>
      <c r="G327">
        <v>210</v>
      </c>
      <c r="H327">
        <v>420</v>
      </c>
      <c r="I327" t="s">
        <v>54</v>
      </c>
      <c r="J327" t="s">
        <v>58</v>
      </c>
      <c r="K327" t="s">
        <v>37</v>
      </c>
      <c r="L327">
        <v>11</v>
      </c>
    </row>
    <row r="328" spans="1:12" x14ac:dyDescent="0.25">
      <c r="A328">
        <v>325</v>
      </c>
      <c r="B328" s="1">
        <v>44521</v>
      </c>
      <c r="C328" t="s">
        <v>8</v>
      </c>
      <c r="D328" t="s">
        <v>9</v>
      </c>
      <c r="E328" t="s">
        <v>10</v>
      </c>
      <c r="F328">
        <v>2</v>
      </c>
      <c r="G328">
        <v>210</v>
      </c>
      <c r="H328">
        <v>420</v>
      </c>
      <c r="I328" t="s">
        <v>54</v>
      </c>
      <c r="J328" t="s">
        <v>58</v>
      </c>
      <c r="K328" t="s">
        <v>37</v>
      </c>
      <c r="L328">
        <v>11</v>
      </c>
    </row>
    <row r="329" spans="1:12" x14ac:dyDescent="0.25">
      <c r="A329">
        <v>326</v>
      </c>
      <c r="B329" s="1">
        <v>44522</v>
      </c>
      <c r="C329" t="s">
        <v>11</v>
      </c>
      <c r="D329" t="s">
        <v>12</v>
      </c>
      <c r="E329" t="s">
        <v>10</v>
      </c>
      <c r="F329">
        <v>2</v>
      </c>
      <c r="G329">
        <v>210</v>
      </c>
      <c r="H329">
        <v>420</v>
      </c>
      <c r="I329" t="s">
        <v>54</v>
      </c>
      <c r="J329" t="s">
        <v>58</v>
      </c>
      <c r="K329" t="s">
        <v>37</v>
      </c>
      <c r="L329">
        <v>11</v>
      </c>
    </row>
    <row r="330" spans="1:12" x14ac:dyDescent="0.25">
      <c r="A330">
        <v>327</v>
      </c>
      <c r="B330" s="1">
        <v>44523</v>
      </c>
      <c r="C330" t="s">
        <v>14</v>
      </c>
      <c r="D330" t="s">
        <v>9</v>
      </c>
      <c r="E330" t="s">
        <v>10</v>
      </c>
      <c r="F330">
        <v>2</v>
      </c>
      <c r="G330">
        <v>210</v>
      </c>
      <c r="H330">
        <v>420</v>
      </c>
      <c r="I330" t="s">
        <v>54</v>
      </c>
      <c r="J330" t="s">
        <v>58</v>
      </c>
      <c r="K330" t="s">
        <v>37</v>
      </c>
      <c r="L330">
        <v>11</v>
      </c>
    </row>
    <row r="331" spans="1:12" x14ac:dyDescent="0.25">
      <c r="A331">
        <v>328</v>
      </c>
      <c r="B331" s="1">
        <v>44524</v>
      </c>
      <c r="C331" t="s">
        <v>16</v>
      </c>
      <c r="D331" t="s">
        <v>12</v>
      </c>
      <c r="E331" t="s">
        <v>10</v>
      </c>
      <c r="F331">
        <v>2</v>
      </c>
      <c r="G331">
        <v>210</v>
      </c>
      <c r="H331">
        <v>420</v>
      </c>
      <c r="I331" t="s">
        <v>54</v>
      </c>
      <c r="J331" t="s">
        <v>58</v>
      </c>
      <c r="K331" t="s">
        <v>37</v>
      </c>
      <c r="L331">
        <v>11</v>
      </c>
    </row>
    <row r="332" spans="1:12" x14ac:dyDescent="0.25">
      <c r="A332">
        <v>329</v>
      </c>
      <c r="B332" s="1">
        <v>44525</v>
      </c>
      <c r="C332" t="s">
        <v>18</v>
      </c>
      <c r="D332" t="s">
        <v>9</v>
      </c>
      <c r="E332" t="s">
        <v>10</v>
      </c>
      <c r="F332">
        <v>2</v>
      </c>
      <c r="G332">
        <v>210</v>
      </c>
      <c r="H332">
        <v>420</v>
      </c>
      <c r="I332" t="s">
        <v>54</v>
      </c>
      <c r="J332" t="s">
        <v>58</v>
      </c>
      <c r="K332" t="s">
        <v>37</v>
      </c>
      <c r="L332">
        <v>11</v>
      </c>
    </row>
    <row r="333" spans="1:12" x14ac:dyDescent="0.25">
      <c r="A333">
        <v>330</v>
      </c>
      <c r="B333" s="1">
        <v>44526</v>
      </c>
      <c r="C333" t="s">
        <v>20</v>
      </c>
      <c r="D333" t="s">
        <v>9</v>
      </c>
      <c r="E333" t="s">
        <v>10</v>
      </c>
      <c r="F333">
        <v>2</v>
      </c>
      <c r="G333">
        <v>210</v>
      </c>
      <c r="H333">
        <v>420</v>
      </c>
      <c r="I333" t="s">
        <v>54</v>
      </c>
      <c r="J333" t="s">
        <v>58</v>
      </c>
      <c r="K333" t="s">
        <v>37</v>
      </c>
      <c r="L333">
        <v>11</v>
      </c>
    </row>
    <row r="334" spans="1:12" x14ac:dyDescent="0.25">
      <c r="A334">
        <v>331</v>
      </c>
      <c r="B334" s="1">
        <v>44527</v>
      </c>
      <c r="C334" t="s">
        <v>8</v>
      </c>
      <c r="D334" t="s">
        <v>9</v>
      </c>
      <c r="E334" t="s">
        <v>21</v>
      </c>
      <c r="F334">
        <v>2</v>
      </c>
      <c r="G334">
        <v>190</v>
      </c>
      <c r="H334">
        <v>380</v>
      </c>
      <c r="I334" t="s">
        <v>54</v>
      </c>
      <c r="J334" t="s">
        <v>58</v>
      </c>
      <c r="K334" t="s">
        <v>37</v>
      </c>
      <c r="L334">
        <v>11</v>
      </c>
    </row>
    <row r="335" spans="1:12" x14ac:dyDescent="0.25">
      <c r="A335">
        <v>332</v>
      </c>
      <c r="B335" s="1">
        <v>44528</v>
      </c>
      <c r="C335" t="s">
        <v>11</v>
      </c>
      <c r="D335" t="s">
        <v>12</v>
      </c>
      <c r="E335" t="s">
        <v>10</v>
      </c>
      <c r="F335">
        <v>7</v>
      </c>
      <c r="G335">
        <v>210</v>
      </c>
      <c r="H335">
        <v>1470</v>
      </c>
      <c r="I335" t="s">
        <v>54</v>
      </c>
      <c r="J335" t="s">
        <v>58</v>
      </c>
      <c r="K335" t="s">
        <v>37</v>
      </c>
      <c r="L335">
        <v>11</v>
      </c>
    </row>
    <row r="336" spans="1:12" x14ac:dyDescent="0.25">
      <c r="A336">
        <v>333</v>
      </c>
      <c r="B336" s="1">
        <v>44529</v>
      </c>
      <c r="C336" t="s">
        <v>14</v>
      </c>
      <c r="D336" t="s">
        <v>12</v>
      </c>
      <c r="E336" t="s">
        <v>13</v>
      </c>
      <c r="F336">
        <v>6</v>
      </c>
      <c r="G336">
        <v>2100</v>
      </c>
      <c r="H336">
        <v>12600</v>
      </c>
      <c r="I336" t="s">
        <v>54</v>
      </c>
      <c r="J336" t="s">
        <v>58</v>
      </c>
      <c r="K336" t="s">
        <v>37</v>
      </c>
      <c r="L336">
        <v>11</v>
      </c>
    </row>
    <row r="337" spans="1:12" x14ac:dyDescent="0.25">
      <c r="A337">
        <v>334</v>
      </c>
      <c r="B337" s="1">
        <v>44530</v>
      </c>
      <c r="C337" t="s">
        <v>16</v>
      </c>
      <c r="D337" t="s">
        <v>9</v>
      </c>
      <c r="E337" t="s">
        <v>15</v>
      </c>
      <c r="F337">
        <v>5</v>
      </c>
      <c r="G337">
        <v>1200</v>
      </c>
      <c r="H337">
        <v>6000</v>
      </c>
      <c r="I337" t="s">
        <v>54</v>
      </c>
      <c r="J337" t="s">
        <v>58</v>
      </c>
      <c r="K337" t="s">
        <v>37</v>
      </c>
      <c r="L337">
        <v>11</v>
      </c>
    </row>
    <row r="338" spans="1:12" x14ac:dyDescent="0.25">
      <c r="A338">
        <v>335</v>
      </c>
      <c r="B338" s="1">
        <v>44531</v>
      </c>
      <c r="C338" t="s">
        <v>18</v>
      </c>
      <c r="D338" t="s">
        <v>9</v>
      </c>
      <c r="E338" t="s">
        <v>17</v>
      </c>
      <c r="F338">
        <v>4</v>
      </c>
      <c r="G338">
        <v>1500</v>
      </c>
      <c r="H338">
        <v>6000</v>
      </c>
      <c r="I338" t="s">
        <v>54</v>
      </c>
      <c r="J338" t="s">
        <v>58</v>
      </c>
      <c r="K338" t="s">
        <v>38</v>
      </c>
      <c r="L338">
        <v>12</v>
      </c>
    </row>
    <row r="339" spans="1:12" x14ac:dyDescent="0.25">
      <c r="A339">
        <v>336</v>
      </c>
      <c r="B339" s="1">
        <v>44532</v>
      </c>
      <c r="C339" t="s">
        <v>20</v>
      </c>
      <c r="D339" t="s">
        <v>12</v>
      </c>
      <c r="E339" t="s">
        <v>17</v>
      </c>
      <c r="F339">
        <v>4</v>
      </c>
      <c r="G339">
        <v>1500</v>
      </c>
      <c r="H339">
        <v>6000</v>
      </c>
      <c r="I339" t="s">
        <v>54</v>
      </c>
      <c r="J339" t="s">
        <v>58</v>
      </c>
      <c r="K339" t="s">
        <v>38</v>
      </c>
      <c r="L339">
        <v>12</v>
      </c>
    </row>
    <row r="340" spans="1:12" x14ac:dyDescent="0.25">
      <c r="A340">
        <v>337</v>
      </c>
      <c r="B340" s="1">
        <v>44533</v>
      </c>
      <c r="C340" t="s">
        <v>20</v>
      </c>
      <c r="D340" t="s">
        <v>9</v>
      </c>
      <c r="E340" t="s">
        <v>17</v>
      </c>
      <c r="F340">
        <v>4</v>
      </c>
      <c r="G340">
        <v>1500</v>
      </c>
      <c r="H340">
        <v>6000</v>
      </c>
      <c r="I340" t="s">
        <v>54</v>
      </c>
      <c r="J340" t="s">
        <v>58</v>
      </c>
      <c r="K340" t="s">
        <v>38</v>
      </c>
      <c r="L340">
        <v>12</v>
      </c>
    </row>
    <row r="341" spans="1:12" x14ac:dyDescent="0.25">
      <c r="A341">
        <v>338</v>
      </c>
      <c r="B341" s="1">
        <v>44534</v>
      </c>
      <c r="C341" t="s">
        <v>8</v>
      </c>
      <c r="D341" t="s">
        <v>9</v>
      </c>
      <c r="E341" t="s">
        <v>17</v>
      </c>
      <c r="F341">
        <v>4</v>
      </c>
      <c r="G341">
        <v>1500</v>
      </c>
      <c r="H341">
        <v>6000</v>
      </c>
      <c r="I341" t="s">
        <v>54</v>
      </c>
      <c r="J341" t="s">
        <v>58</v>
      </c>
      <c r="K341" t="s">
        <v>38</v>
      </c>
      <c r="L341">
        <v>12</v>
      </c>
    </row>
    <row r="342" spans="1:12" x14ac:dyDescent="0.25">
      <c r="A342">
        <v>339</v>
      </c>
      <c r="B342" s="1">
        <v>44535</v>
      </c>
      <c r="C342" t="s">
        <v>11</v>
      </c>
      <c r="D342" t="s">
        <v>9</v>
      </c>
      <c r="E342" t="s">
        <v>17</v>
      </c>
      <c r="F342">
        <v>4</v>
      </c>
      <c r="G342">
        <v>1500</v>
      </c>
      <c r="H342">
        <v>6000</v>
      </c>
      <c r="I342" t="s">
        <v>54</v>
      </c>
      <c r="J342" t="s">
        <v>58</v>
      </c>
      <c r="K342" t="s">
        <v>38</v>
      </c>
      <c r="L342">
        <v>12</v>
      </c>
    </row>
    <row r="343" spans="1:12" x14ac:dyDescent="0.25">
      <c r="A343">
        <v>340</v>
      </c>
      <c r="B343" s="1">
        <v>44536</v>
      </c>
      <c r="C343" t="s">
        <v>14</v>
      </c>
      <c r="D343" t="s">
        <v>9</v>
      </c>
      <c r="E343" t="s">
        <v>17</v>
      </c>
      <c r="F343">
        <v>4</v>
      </c>
      <c r="G343">
        <v>1500</v>
      </c>
      <c r="H343">
        <v>6000</v>
      </c>
      <c r="I343" t="s">
        <v>54</v>
      </c>
      <c r="J343" t="s">
        <v>58</v>
      </c>
      <c r="K343" t="s">
        <v>38</v>
      </c>
      <c r="L343">
        <v>12</v>
      </c>
    </row>
    <row r="344" spans="1:12" x14ac:dyDescent="0.25">
      <c r="A344">
        <v>341</v>
      </c>
      <c r="B344" s="1">
        <v>44537</v>
      </c>
      <c r="C344" t="s">
        <v>16</v>
      </c>
      <c r="D344" t="s">
        <v>9</v>
      </c>
      <c r="E344" t="s">
        <v>17</v>
      </c>
      <c r="F344">
        <v>4</v>
      </c>
      <c r="G344">
        <v>1500</v>
      </c>
      <c r="H344">
        <v>6000</v>
      </c>
      <c r="I344" t="s">
        <v>54</v>
      </c>
      <c r="J344" t="s">
        <v>58</v>
      </c>
      <c r="K344" t="s">
        <v>38</v>
      </c>
      <c r="L344">
        <v>12</v>
      </c>
    </row>
    <row r="345" spans="1:12" x14ac:dyDescent="0.25">
      <c r="A345">
        <v>342</v>
      </c>
      <c r="B345" s="1">
        <v>44538</v>
      </c>
      <c r="C345" t="s">
        <v>18</v>
      </c>
      <c r="D345" t="s">
        <v>9</v>
      </c>
      <c r="E345" t="s">
        <v>17</v>
      </c>
      <c r="F345">
        <v>4</v>
      </c>
      <c r="G345">
        <v>1500</v>
      </c>
      <c r="H345">
        <v>6000</v>
      </c>
      <c r="I345" t="s">
        <v>54</v>
      </c>
      <c r="J345" t="s">
        <v>58</v>
      </c>
      <c r="K345" t="s">
        <v>38</v>
      </c>
      <c r="L345">
        <v>12</v>
      </c>
    </row>
    <row r="346" spans="1:12" x14ac:dyDescent="0.25">
      <c r="A346">
        <v>343</v>
      </c>
      <c r="B346" s="1">
        <v>44539</v>
      </c>
      <c r="C346" t="s">
        <v>20</v>
      </c>
      <c r="D346" t="s">
        <v>9</v>
      </c>
      <c r="E346" t="s">
        <v>17</v>
      </c>
      <c r="F346">
        <v>4</v>
      </c>
      <c r="G346">
        <v>1500</v>
      </c>
      <c r="H346">
        <v>6000</v>
      </c>
      <c r="I346" t="s">
        <v>54</v>
      </c>
      <c r="J346" t="s">
        <v>58</v>
      </c>
      <c r="K346" t="s">
        <v>38</v>
      </c>
      <c r="L346">
        <v>12</v>
      </c>
    </row>
    <row r="347" spans="1:12" x14ac:dyDescent="0.25">
      <c r="A347">
        <v>344</v>
      </c>
      <c r="B347" s="1">
        <v>44540</v>
      </c>
      <c r="C347" t="s">
        <v>8</v>
      </c>
      <c r="D347" t="s">
        <v>9</v>
      </c>
      <c r="E347" t="s">
        <v>10</v>
      </c>
      <c r="F347">
        <v>2</v>
      </c>
      <c r="G347">
        <v>210</v>
      </c>
      <c r="H347">
        <v>420</v>
      </c>
      <c r="I347" t="s">
        <v>54</v>
      </c>
      <c r="J347" t="s">
        <v>58</v>
      </c>
      <c r="K347" t="s">
        <v>38</v>
      </c>
      <c r="L347">
        <v>12</v>
      </c>
    </row>
    <row r="348" spans="1:12" x14ac:dyDescent="0.25">
      <c r="A348">
        <v>345</v>
      </c>
      <c r="B348" s="1">
        <v>44541</v>
      </c>
      <c r="C348" t="s">
        <v>11</v>
      </c>
      <c r="D348" t="s">
        <v>12</v>
      </c>
      <c r="E348" t="s">
        <v>15</v>
      </c>
      <c r="F348">
        <v>7</v>
      </c>
      <c r="G348">
        <v>2100</v>
      </c>
      <c r="H348">
        <v>14700</v>
      </c>
      <c r="I348" t="s">
        <v>54</v>
      </c>
      <c r="J348" t="s">
        <v>58</v>
      </c>
      <c r="K348" t="s">
        <v>38</v>
      </c>
      <c r="L348">
        <v>12</v>
      </c>
    </row>
    <row r="349" spans="1:12" x14ac:dyDescent="0.25">
      <c r="A349">
        <v>346</v>
      </c>
      <c r="B349" s="1">
        <v>44542</v>
      </c>
      <c r="C349" t="s">
        <v>14</v>
      </c>
      <c r="D349" t="s">
        <v>9</v>
      </c>
      <c r="E349" t="s">
        <v>17</v>
      </c>
      <c r="F349">
        <v>6</v>
      </c>
      <c r="G349">
        <v>1200</v>
      </c>
      <c r="H349">
        <v>7200</v>
      </c>
      <c r="I349" t="s">
        <v>54</v>
      </c>
      <c r="J349" t="s">
        <v>58</v>
      </c>
      <c r="K349" t="s">
        <v>38</v>
      </c>
      <c r="L349">
        <v>12</v>
      </c>
    </row>
    <row r="350" spans="1:12" x14ac:dyDescent="0.25">
      <c r="A350">
        <v>347</v>
      </c>
      <c r="B350" s="1">
        <v>44543</v>
      </c>
      <c r="C350" t="s">
        <v>16</v>
      </c>
      <c r="D350" t="s">
        <v>12</v>
      </c>
      <c r="E350" t="s">
        <v>19</v>
      </c>
      <c r="F350">
        <v>5</v>
      </c>
      <c r="G350">
        <v>300</v>
      </c>
      <c r="H350">
        <v>1500</v>
      </c>
      <c r="I350" t="s">
        <v>54</v>
      </c>
      <c r="J350" t="s">
        <v>58</v>
      </c>
      <c r="K350" t="s">
        <v>38</v>
      </c>
      <c r="L350">
        <v>12</v>
      </c>
    </row>
    <row r="351" spans="1:12" x14ac:dyDescent="0.25">
      <c r="A351">
        <v>348</v>
      </c>
      <c r="B351" s="1">
        <v>44544</v>
      </c>
      <c r="C351" t="s">
        <v>18</v>
      </c>
      <c r="D351" t="s">
        <v>9</v>
      </c>
      <c r="E351" t="s">
        <v>21</v>
      </c>
      <c r="F351">
        <v>4</v>
      </c>
      <c r="G351">
        <v>200</v>
      </c>
      <c r="H351">
        <v>800</v>
      </c>
      <c r="I351" t="s">
        <v>54</v>
      </c>
      <c r="J351" t="s">
        <v>58</v>
      </c>
      <c r="K351" t="s">
        <v>38</v>
      </c>
      <c r="L351">
        <v>12</v>
      </c>
    </row>
    <row r="352" spans="1:12" x14ac:dyDescent="0.25">
      <c r="A352">
        <v>349</v>
      </c>
      <c r="B352" s="1">
        <v>44545</v>
      </c>
      <c r="C352" t="s">
        <v>20</v>
      </c>
      <c r="D352" t="s">
        <v>9</v>
      </c>
      <c r="E352" t="s">
        <v>10</v>
      </c>
      <c r="F352">
        <v>3</v>
      </c>
      <c r="G352">
        <v>190</v>
      </c>
      <c r="H352">
        <v>570</v>
      </c>
      <c r="I352" t="s">
        <v>54</v>
      </c>
      <c r="J352" t="s">
        <v>58</v>
      </c>
      <c r="K352" t="s">
        <v>38</v>
      </c>
      <c r="L352">
        <v>12</v>
      </c>
    </row>
    <row r="353" spans="1:12" x14ac:dyDescent="0.25">
      <c r="A353">
        <v>350</v>
      </c>
      <c r="B353" s="1">
        <v>44546</v>
      </c>
      <c r="C353" t="s">
        <v>20</v>
      </c>
      <c r="D353" t="s">
        <v>9</v>
      </c>
      <c r="E353" t="s">
        <v>13</v>
      </c>
      <c r="F353">
        <v>2</v>
      </c>
      <c r="G353">
        <v>2100</v>
      </c>
      <c r="H353">
        <v>4200</v>
      </c>
      <c r="I353" t="s">
        <v>54</v>
      </c>
      <c r="J353" t="s">
        <v>58</v>
      </c>
      <c r="K353" t="s">
        <v>38</v>
      </c>
      <c r="L353">
        <v>12</v>
      </c>
    </row>
    <row r="354" spans="1:12" x14ac:dyDescent="0.25">
      <c r="A354">
        <v>351</v>
      </c>
      <c r="B354" s="1">
        <v>44547</v>
      </c>
      <c r="C354" t="s">
        <v>8</v>
      </c>
      <c r="D354" t="s">
        <v>9</v>
      </c>
      <c r="E354" t="s">
        <v>10</v>
      </c>
      <c r="F354">
        <v>7</v>
      </c>
      <c r="G354">
        <v>210</v>
      </c>
      <c r="H354">
        <v>1470</v>
      </c>
      <c r="I354" t="s">
        <v>54</v>
      </c>
      <c r="J354" t="s">
        <v>58</v>
      </c>
      <c r="K354" t="s">
        <v>38</v>
      </c>
      <c r="L354">
        <v>12</v>
      </c>
    </row>
    <row r="355" spans="1:12" x14ac:dyDescent="0.25">
      <c r="A355">
        <v>352</v>
      </c>
      <c r="B355" s="1">
        <v>44548</v>
      </c>
      <c r="C355" t="s">
        <v>8</v>
      </c>
      <c r="D355" t="s">
        <v>12</v>
      </c>
      <c r="E355" t="s">
        <v>13</v>
      </c>
      <c r="F355">
        <v>6</v>
      </c>
      <c r="G355">
        <v>2100</v>
      </c>
      <c r="H355">
        <v>12600</v>
      </c>
      <c r="I355" t="s">
        <v>54</v>
      </c>
      <c r="J355" t="s">
        <v>58</v>
      </c>
      <c r="K355" t="s">
        <v>38</v>
      </c>
      <c r="L355">
        <v>12</v>
      </c>
    </row>
    <row r="356" spans="1:12" x14ac:dyDescent="0.25">
      <c r="A356">
        <v>353</v>
      </c>
      <c r="B356" s="1">
        <v>44549</v>
      </c>
      <c r="C356" t="s">
        <v>8</v>
      </c>
      <c r="D356" t="s">
        <v>22</v>
      </c>
      <c r="E356" t="s">
        <v>15</v>
      </c>
      <c r="F356">
        <v>5</v>
      </c>
      <c r="G356">
        <v>1200</v>
      </c>
      <c r="H356">
        <v>6000</v>
      </c>
      <c r="I356" t="s">
        <v>54</v>
      </c>
      <c r="J356" t="s">
        <v>58</v>
      </c>
      <c r="K356" t="s">
        <v>38</v>
      </c>
      <c r="L356">
        <v>12</v>
      </c>
    </row>
    <row r="357" spans="1:12" x14ac:dyDescent="0.25">
      <c r="A357">
        <v>354</v>
      </c>
      <c r="B357" s="1">
        <v>44550</v>
      </c>
      <c r="C357" t="s">
        <v>8</v>
      </c>
      <c r="D357" t="s">
        <v>23</v>
      </c>
      <c r="E357" t="s">
        <v>17</v>
      </c>
      <c r="F357">
        <v>4</v>
      </c>
      <c r="G357">
        <v>1500</v>
      </c>
      <c r="H357">
        <v>6000</v>
      </c>
      <c r="I357" t="s">
        <v>54</v>
      </c>
      <c r="J357" t="s">
        <v>58</v>
      </c>
      <c r="K357" t="s">
        <v>38</v>
      </c>
      <c r="L357">
        <v>12</v>
      </c>
    </row>
    <row r="358" spans="1:12" x14ac:dyDescent="0.25">
      <c r="A358">
        <v>355</v>
      </c>
      <c r="B358" s="1">
        <v>44551</v>
      </c>
      <c r="C358" t="s">
        <v>8</v>
      </c>
      <c r="D358" t="s">
        <v>9</v>
      </c>
      <c r="E358" t="s">
        <v>19</v>
      </c>
      <c r="F358">
        <v>3</v>
      </c>
      <c r="G358">
        <v>300</v>
      </c>
      <c r="H358">
        <v>900</v>
      </c>
      <c r="I358" t="s">
        <v>54</v>
      </c>
      <c r="J358" t="s">
        <v>58</v>
      </c>
      <c r="K358" t="s">
        <v>38</v>
      </c>
      <c r="L358">
        <v>12</v>
      </c>
    </row>
    <row r="359" spans="1:12" x14ac:dyDescent="0.25">
      <c r="A359">
        <v>356</v>
      </c>
      <c r="B359" s="1">
        <v>44552</v>
      </c>
      <c r="C359" t="s">
        <v>8</v>
      </c>
      <c r="D359" t="s">
        <v>12</v>
      </c>
      <c r="E359" t="s">
        <v>21</v>
      </c>
      <c r="F359">
        <v>2</v>
      </c>
      <c r="G359">
        <v>190</v>
      </c>
      <c r="H359">
        <v>380</v>
      </c>
      <c r="I359" t="s">
        <v>54</v>
      </c>
      <c r="J359" t="s">
        <v>58</v>
      </c>
      <c r="K359" t="s">
        <v>38</v>
      </c>
      <c r="L359">
        <v>12</v>
      </c>
    </row>
    <row r="360" spans="1:12" x14ac:dyDescent="0.25">
      <c r="A360">
        <v>357</v>
      </c>
      <c r="B360" s="1">
        <v>44553</v>
      </c>
      <c r="C360" t="s">
        <v>8</v>
      </c>
      <c r="D360" t="s">
        <v>22</v>
      </c>
      <c r="E360" t="s">
        <v>10</v>
      </c>
      <c r="F360">
        <v>7</v>
      </c>
      <c r="G360">
        <v>210</v>
      </c>
      <c r="H360">
        <v>1470</v>
      </c>
      <c r="I360" t="s">
        <v>54</v>
      </c>
      <c r="J360" t="s">
        <v>58</v>
      </c>
      <c r="K360" t="s">
        <v>38</v>
      </c>
      <c r="L360">
        <v>12</v>
      </c>
    </row>
    <row r="361" spans="1:12" x14ac:dyDescent="0.25">
      <c r="A361">
        <v>358</v>
      </c>
      <c r="B361" s="1">
        <v>44554</v>
      </c>
      <c r="C361" t="s">
        <v>8</v>
      </c>
      <c r="D361" t="s">
        <v>23</v>
      </c>
      <c r="E361" t="s">
        <v>13</v>
      </c>
      <c r="F361">
        <v>6</v>
      </c>
      <c r="G361">
        <v>2100</v>
      </c>
      <c r="H361">
        <v>12600</v>
      </c>
      <c r="I361" t="s">
        <v>54</v>
      </c>
      <c r="J361" t="s">
        <v>58</v>
      </c>
      <c r="K361" t="s">
        <v>38</v>
      </c>
      <c r="L361">
        <v>12</v>
      </c>
    </row>
    <row r="362" spans="1:12" x14ac:dyDescent="0.25">
      <c r="A362">
        <v>359</v>
      </c>
      <c r="B362" s="1">
        <v>44555</v>
      </c>
      <c r="C362" t="s">
        <v>11</v>
      </c>
      <c r="D362" t="s">
        <v>12</v>
      </c>
      <c r="E362" t="s">
        <v>13</v>
      </c>
      <c r="F362">
        <v>6</v>
      </c>
      <c r="G362">
        <v>2100</v>
      </c>
      <c r="H362">
        <v>12600</v>
      </c>
      <c r="I362" t="s">
        <v>54</v>
      </c>
      <c r="J362" t="s">
        <v>58</v>
      </c>
      <c r="K362" t="s">
        <v>38</v>
      </c>
      <c r="L362">
        <v>12</v>
      </c>
    </row>
    <row r="363" spans="1:12" x14ac:dyDescent="0.25">
      <c r="A363">
        <v>360</v>
      </c>
      <c r="B363" s="1">
        <v>44556</v>
      </c>
      <c r="C363" t="s">
        <v>11</v>
      </c>
      <c r="D363" t="s">
        <v>9</v>
      </c>
      <c r="E363" t="s">
        <v>13</v>
      </c>
      <c r="F363">
        <v>6</v>
      </c>
      <c r="G363">
        <v>2100</v>
      </c>
      <c r="H363">
        <v>12600</v>
      </c>
      <c r="I363" t="s">
        <v>54</v>
      </c>
      <c r="J363" t="s">
        <v>58</v>
      </c>
      <c r="K363" t="s">
        <v>38</v>
      </c>
      <c r="L363">
        <v>12</v>
      </c>
    </row>
    <row r="364" spans="1:12" x14ac:dyDescent="0.25">
      <c r="A364">
        <v>361</v>
      </c>
      <c r="B364" s="1">
        <v>44557</v>
      </c>
      <c r="C364" t="s">
        <v>11</v>
      </c>
      <c r="D364" t="s">
        <v>22</v>
      </c>
      <c r="E364" t="s">
        <v>13</v>
      </c>
      <c r="F364">
        <v>6</v>
      </c>
      <c r="G364">
        <v>2100</v>
      </c>
      <c r="H364">
        <v>12600</v>
      </c>
      <c r="I364" t="s">
        <v>54</v>
      </c>
      <c r="J364" t="s">
        <v>58</v>
      </c>
      <c r="K364" t="s">
        <v>38</v>
      </c>
      <c r="L364">
        <v>12</v>
      </c>
    </row>
    <row r="365" spans="1:12" x14ac:dyDescent="0.25">
      <c r="A365">
        <v>362</v>
      </c>
      <c r="B365" s="1">
        <v>44558</v>
      </c>
      <c r="C365" t="s">
        <v>11</v>
      </c>
      <c r="D365" t="s">
        <v>23</v>
      </c>
      <c r="E365" t="s">
        <v>13</v>
      </c>
      <c r="F365">
        <v>6</v>
      </c>
      <c r="G365">
        <v>2100</v>
      </c>
      <c r="H365">
        <v>12600</v>
      </c>
      <c r="I365" t="s">
        <v>54</v>
      </c>
      <c r="J365" t="s">
        <v>58</v>
      </c>
      <c r="K365" t="s">
        <v>38</v>
      </c>
      <c r="L365">
        <v>12</v>
      </c>
    </row>
    <row r="366" spans="1:12" x14ac:dyDescent="0.25">
      <c r="A366">
        <v>363</v>
      </c>
      <c r="B366" s="1">
        <v>44559</v>
      </c>
      <c r="C366" t="s">
        <v>11</v>
      </c>
      <c r="D366" t="s">
        <v>12</v>
      </c>
      <c r="E366" t="s">
        <v>13</v>
      </c>
      <c r="F366">
        <v>6</v>
      </c>
      <c r="G366">
        <v>2100</v>
      </c>
      <c r="H366">
        <v>12600</v>
      </c>
      <c r="I366" t="s">
        <v>54</v>
      </c>
      <c r="J366" t="s">
        <v>58</v>
      </c>
      <c r="K366" t="s">
        <v>38</v>
      </c>
      <c r="L366">
        <v>12</v>
      </c>
    </row>
    <row r="367" spans="1:12" x14ac:dyDescent="0.25">
      <c r="A367">
        <v>364</v>
      </c>
      <c r="B367" s="1">
        <v>44560</v>
      </c>
      <c r="C367" t="s">
        <v>11</v>
      </c>
      <c r="D367" t="s">
        <v>9</v>
      </c>
      <c r="E367" t="s">
        <v>13</v>
      </c>
      <c r="F367">
        <v>6</v>
      </c>
      <c r="G367">
        <v>2100</v>
      </c>
      <c r="H367">
        <v>12600</v>
      </c>
      <c r="I367" t="s">
        <v>54</v>
      </c>
      <c r="J367" t="s">
        <v>58</v>
      </c>
      <c r="K367" t="s">
        <v>38</v>
      </c>
      <c r="L367">
        <v>12</v>
      </c>
    </row>
    <row r="368" spans="1:12" x14ac:dyDescent="0.25">
      <c r="A368">
        <v>365</v>
      </c>
      <c r="B368" s="1">
        <v>44561</v>
      </c>
      <c r="C368" t="s">
        <v>11</v>
      </c>
      <c r="D368" t="s">
        <v>22</v>
      </c>
      <c r="E368" t="s">
        <v>15</v>
      </c>
      <c r="F368">
        <v>6</v>
      </c>
      <c r="G368">
        <v>1200</v>
      </c>
      <c r="H368">
        <v>7200</v>
      </c>
      <c r="I368" t="s">
        <v>54</v>
      </c>
      <c r="J368" t="s">
        <v>58</v>
      </c>
      <c r="K368" t="s">
        <v>38</v>
      </c>
      <c r="L368">
        <v>12</v>
      </c>
    </row>
    <row r="369" spans="1:12" x14ac:dyDescent="0.25">
      <c r="A369">
        <v>366</v>
      </c>
      <c r="B369" s="1">
        <v>44562</v>
      </c>
      <c r="C369" t="s">
        <v>11</v>
      </c>
      <c r="D369" t="s">
        <v>23</v>
      </c>
      <c r="E369" t="s">
        <v>17</v>
      </c>
      <c r="F369">
        <v>5</v>
      </c>
      <c r="G369">
        <v>1500</v>
      </c>
      <c r="H369">
        <v>7500</v>
      </c>
      <c r="I369" t="s">
        <v>59</v>
      </c>
      <c r="J369" t="s">
        <v>55</v>
      </c>
      <c r="K369" t="s">
        <v>27</v>
      </c>
      <c r="L369">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23588-7583-48CB-80B7-DFDC1C8C75B8}">
  <dimension ref="A3:AZ20"/>
  <sheetViews>
    <sheetView tabSelected="1" topLeftCell="K1" workbookViewId="0">
      <selection activeCell="S17" sqref="S17"/>
    </sheetView>
  </sheetViews>
  <sheetFormatPr defaultRowHeight="15" x14ac:dyDescent="0.25"/>
  <cols>
    <col min="1" max="1" width="13.140625" bestFit="1" customWidth="1"/>
    <col min="2" max="2" width="14.85546875" bestFit="1" customWidth="1"/>
    <col min="3" max="3" width="9" customWidth="1"/>
    <col min="4" max="4" width="13.140625" bestFit="1" customWidth="1"/>
    <col min="5" max="5" width="14.85546875" bestFit="1" customWidth="1"/>
    <col min="6" max="6" width="17.7109375" bestFit="1" customWidth="1"/>
    <col min="7" max="8" width="10.42578125" bestFit="1" customWidth="1"/>
    <col min="9" max="9" width="13.140625" bestFit="1" customWidth="1"/>
    <col min="10" max="10" width="14.85546875" bestFit="1" customWidth="1"/>
    <col min="11" max="15" width="10.42578125" bestFit="1" customWidth="1"/>
    <col min="16" max="16" width="13.140625" bestFit="1" customWidth="1"/>
    <col min="17" max="17" width="10.7109375" bestFit="1" customWidth="1"/>
    <col min="18" max="18" width="14.85546875" bestFit="1" customWidth="1"/>
    <col min="19" max="19" width="16.28515625" bestFit="1" customWidth="1"/>
    <col min="20" max="21" width="14.85546875" bestFit="1" customWidth="1"/>
    <col min="22" max="25" width="10.42578125" bestFit="1" customWidth="1"/>
    <col min="26" max="26" width="13.140625" bestFit="1" customWidth="1"/>
    <col min="27" max="27" width="14.85546875" bestFit="1" customWidth="1"/>
    <col min="28" max="28" width="12" bestFit="1" customWidth="1"/>
    <col min="29" max="31" width="10.42578125" bestFit="1" customWidth="1"/>
    <col min="32" max="32" width="13.140625" bestFit="1" customWidth="1"/>
    <col min="33" max="33" width="14.85546875" bestFit="1" customWidth="1"/>
    <col min="34" max="35" width="10.42578125" bestFit="1" customWidth="1"/>
    <col min="36" max="36" width="13.140625" bestFit="1" customWidth="1"/>
    <col min="37" max="37" width="14.85546875" bestFit="1" customWidth="1"/>
    <col min="38" max="45" width="10.42578125" bestFit="1" customWidth="1"/>
    <col min="46" max="46" width="13.140625" bestFit="1" customWidth="1"/>
    <col min="47" max="47" width="14.85546875" bestFit="1" customWidth="1"/>
    <col min="48" max="50" width="10.42578125" bestFit="1" customWidth="1"/>
    <col min="51" max="51" width="13.140625" bestFit="1" customWidth="1"/>
    <col min="52" max="52" width="14.85546875" customWidth="1"/>
    <col min="53" max="367" width="10.42578125" bestFit="1" customWidth="1"/>
    <col min="368" max="368" width="11.28515625" bestFit="1" customWidth="1"/>
  </cols>
  <sheetData>
    <row r="3" spans="1:52" x14ac:dyDescent="0.25">
      <c r="A3" s="3" t="s">
        <v>24</v>
      </c>
      <c r="B3" t="s">
        <v>26</v>
      </c>
      <c r="D3" s="3" t="s">
        <v>24</v>
      </c>
      <c r="E3" t="s">
        <v>26</v>
      </c>
    </row>
    <row r="4" spans="1:52" x14ac:dyDescent="0.25">
      <c r="A4" s="4" t="s">
        <v>27</v>
      </c>
      <c r="B4">
        <v>143130</v>
      </c>
      <c r="D4" s="4" t="s">
        <v>9</v>
      </c>
      <c r="E4">
        <v>736080</v>
      </c>
    </row>
    <row r="5" spans="1:52" x14ac:dyDescent="0.25">
      <c r="A5" s="4" t="s">
        <v>28</v>
      </c>
      <c r="B5">
        <v>224470</v>
      </c>
      <c r="D5" s="4" t="s">
        <v>22</v>
      </c>
      <c r="E5">
        <v>203680</v>
      </c>
    </row>
    <row r="6" spans="1:52" x14ac:dyDescent="0.25">
      <c r="A6" s="4" t="s">
        <v>29</v>
      </c>
      <c r="B6">
        <v>86100</v>
      </c>
      <c r="D6" s="4" t="s">
        <v>23</v>
      </c>
      <c r="E6">
        <v>335480</v>
      </c>
    </row>
    <row r="7" spans="1:52" x14ac:dyDescent="0.25">
      <c r="A7" s="4" t="s">
        <v>30</v>
      </c>
      <c r="B7">
        <v>153530</v>
      </c>
      <c r="D7" s="4" t="s">
        <v>12</v>
      </c>
      <c r="E7">
        <v>507330</v>
      </c>
    </row>
    <row r="8" spans="1:52" x14ac:dyDescent="0.25">
      <c r="A8" s="4" t="s">
        <v>31</v>
      </c>
      <c r="B8">
        <v>110160</v>
      </c>
      <c r="D8" s="4" t="s">
        <v>25</v>
      </c>
      <c r="E8">
        <v>1782570</v>
      </c>
    </row>
    <row r="9" spans="1:52" x14ac:dyDescent="0.25">
      <c r="A9" s="4" t="s">
        <v>32</v>
      </c>
      <c r="B9">
        <v>118530</v>
      </c>
    </row>
    <row r="10" spans="1:52" x14ac:dyDescent="0.25">
      <c r="A10" s="4" t="s">
        <v>33</v>
      </c>
      <c r="B10">
        <v>130100</v>
      </c>
      <c r="AT10" s="3" t="s">
        <v>24</v>
      </c>
      <c r="AU10" t="s">
        <v>26</v>
      </c>
      <c r="AY10" s="6" t="s">
        <v>24</v>
      </c>
      <c r="AZ10" s="5" t="s">
        <v>26</v>
      </c>
    </row>
    <row r="11" spans="1:52" x14ac:dyDescent="0.25">
      <c r="A11" s="4" t="s">
        <v>34</v>
      </c>
      <c r="B11">
        <v>156300</v>
      </c>
      <c r="AT11" s="4" t="s">
        <v>8</v>
      </c>
      <c r="AU11">
        <v>386030</v>
      </c>
      <c r="AY11" s="7" t="s">
        <v>14</v>
      </c>
      <c r="AZ11" s="5">
        <v>139880</v>
      </c>
    </row>
    <row r="12" spans="1:52" x14ac:dyDescent="0.25">
      <c r="A12" s="4" t="s">
        <v>35</v>
      </c>
      <c r="B12">
        <v>223770</v>
      </c>
      <c r="AF12" s="3" t="s">
        <v>24</v>
      </c>
      <c r="AG12" t="s">
        <v>26</v>
      </c>
      <c r="AJ12" s="3" t="s">
        <v>24</v>
      </c>
      <c r="AK12" t="s">
        <v>26</v>
      </c>
      <c r="AT12" s="4" t="s">
        <v>11</v>
      </c>
      <c r="AU12">
        <v>394410</v>
      </c>
      <c r="AY12" s="7" t="s">
        <v>18</v>
      </c>
      <c r="AZ12" s="5">
        <v>125600</v>
      </c>
    </row>
    <row r="13" spans="1:52" x14ac:dyDescent="0.25">
      <c r="A13" s="4" t="s">
        <v>36</v>
      </c>
      <c r="B13">
        <v>197350</v>
      </c>
      <c r="D13" s="3" t="s">
        <v>24</v>
      </c>
      <c r="E13" t="s">
        <v>26</v>
      </c>
      <c r="P13" s="3" t="s">
        <v>24</v>
      </c>
      <c r="Q13" t="s">
        <v>40</v>
      </c>
      <c r="Z13" s="3" t="s">
        <v>24</v>
      </c>
      <c r="AA13" t="s">
        <v>26</v>
      </c>
      <c r="AF13" s="4" t="s">
        <v>19</v>
      </c>
      <c r="AG13">
        <v>65400</v>
      </c>
      <c r="AJ13" s="4" t="s">
        <v>8</v>
      </c>
      <c r="AK13">
        <v>386030</v>
      </c>
      <c r="AT13" s="4" t="s">
        <v>20</v>
      </c>
      <c r="AU13">
        <v>551960</v>
      </c>
      <c r="AY13" s="7" t="s">
        <v>16</v>
      </c>
      <c r="AZ13" s="5">
        <v>184690</v>
      </c>
    </row>
    <row r="14" spans="1:52" x14ac:dyDescent="0.25">
      <c r="A14" s="4" t="s">
        <v>37</v>
      </c>
      <c r="B14">
        <v>31520</v>
      </c>
      <c r="D14" s="4" t="s">
        <v>21</v>
      </c>
      <c r="E14" s="9">
        <v>1.4204210774331443E-2</v>
      </c>
      <c r="F14" t="s">
        <v>39</v>
      </c>
      <c r="P14" s="4" t="s">
        <v>21</v>
      </c>
      <c r="Q14">
        <v>132</v>
      </c>
      <c r="Z14" s="4" t="s">
        <v>19</v>
      </c>
      <c r="AA14">
        <v>65400</v>
      </c>
      <c r="AF14" s="4" t="s">
        <v>10</v>
      </c>
      <c r="AG14">
        <v>66150</v>
      </c>
      <c r="AJ14" s="4" t="s">
        <v>16</v>
      </c>
      <c r="AK14">
        <v>184690</v>
      </c>
      <c r="AT14" s="4" t="s">
        <v>25</v>
      </c>
      <c r="AU14">
        <v>1332400</v>
      </c>
      <c r="AY14" s="7" t="s">
        <v>25</v>
      </c>
      <c r="AZ14" s="5">
        <v>450170</v>
      </c>
    </row>
    <row r="15" spans="1:52" x14ac:dyDescent="0.25">
      <c r="A15" s="4" t="s">
        <v>38</v>
      </c>
      <c r="B15">
        <v>207610</v>
      </c>
      <c r="D15" s="4" t="s">
        <v>15</v>
      </c>
      <c r="E15" s="9">
        <v>0.19017485989330013</v>
      </c>
      <c r="P15" s="4" t="s">
        <v>15</v>
      </c>
      <c r="Q15">
        <v>251</v>
      </c>
      <c r="Z15" s="4" t="s">
        <v>21</v>
      </c>
      <c r="AA15">
        <v>25320</v>
      </c>
      <c r="AD15" t="s">
        <v>39</v>
      </c>
      <c r="AF15" s="4" t="s">
        <v>21</v>
      </c>
      <c r="AG15">
        <v>25320</v>
      </c>
      <c r="AJ15" s="4" t="s">
        <v>18</v>
      </c>
      <c r="AK15">
        <v>125600</v>
      </c>
    </row>
    <row r="16" spans="1:52" x14ac:dyDescent="0.25">
      <c r="A16" s="4" t="s">
        <v>25</v>
      </c>
      <c r="B16">
        <v>1782570</v>
      </c>
      <c r="D16" s="4" t="s">
        <v>10</v>
      </c>
      <c r="E16" s="9">
        <v>3.7109342129621838E-2</v>
      </c>
      <c r="P16" s="4" t="s">
        <v>10</v>
      </c>
      <c r="Q16">
        <v>319</v>
      </c>
      <c r="S16" t="s">
        <v>26</v>
      </c>
      <c r="Z16" s="4" t="s">
        <v>15</v>
      </c>
      <c r="AA16">
        <v>339000</v>
      </c>
      <c r="AB16" t="s">
        <v>39</v>
      </c>
      <c r="AF16" s="4" t="s">
        <v>25</v>
      </c>
      <c r="AG16">
        <v>156870</v>
      </c>
      <c r="AJ16" s="4" t="s">
        <v>14</v>
      </c>
      <c r="AK16">
        <v>139880</v>
      </c>
    </row>
    <row r="17" spans="4:37" x14ac:dyDescent="0.25">
      <c r="D17" s="4" t="s">
        <v>13</v>
      </c>
      <c r="E17" s="9">
        <v>0.52424308722799107</v>
      </c>
      <c r="P17" s="4" t="s">
        <v>13</v>
      </c>
      <c r="Q17">
        <v>445</v>
      </c>
      <c r="S17">
        <v>1782570</v>
      </c>
      <c r="T17" s="8">
        <f>GETPIVOTDATA("[Measures].[Sum of Amount]",$S$16)</f>
        <v>1782570</v>
      </c>
      <c r="Z17" s="4" t="s">
        <v>10</v>
      </c>
      <c r="AA17">
        <v>66150</v>
      </c>
      <c r="AJ17" s="4" t="s">
        <v>11</v>
      </c>
      <c r="AK17">
        <v>394410</v>
      </c>
    </row>
    <row r="18" spans="4:37" x14ac:dyDescent="0.25">
      <c r="D18" s="4" t="s">
        <v>17</v>
      </c>
      <c r="E18" s="9">
        <v>0.1975798986856056</v>
      </c>
      <c r="P18" s="4" t="s">
        <v>17</v>
      </c>
      <c r="Q18">
        <v>242</v>
      </c>
      <c r="R18" t="s">
        <v>39</v>
      </c>
      <c r="Z18" s="4" t="s">
        <v>13</v>
      </c>
      <c r="AA18">
        <v>934500</v>
      </c>
      <c r="AJ18" s="4" t="s">
        <v>20</v>
      </c>
      <c r="AK18">
        <v>551960</v>
      </c>
    </row>
    <row r="19" spans="4:37" x14ac:dyDescent="0.25">
      <c r="D19" s="4" t="s">
        <v>19</v>
      </c>
      <c r="E19" s="9">
        <v>3.6688601289149934E-2</v>
      </c>
      <c r="P19" s="4" t="s">
        <v>19</v>
      </c>
      <c r="Q19">
        <v>218</v>
      </c>
      <c r="S19" t="s">
        <v>41</v>
      </c>
      <c r="Z19" s="4" t="s">
        <v>17</v>
      </c>
      <c r="AA19">
        <v>352200</v>
      </c>
      <c r="AJ19" s="4" t="s">
        <v>25</v>
      </c>
      <c r="AK19">
        <v>1782570</v>
      </c>
    </row>
    <row r="20" spans="4:37" x14ac:dyDescent="0.25">
      <c r="D20" s="4" t="s">
        <v>25</v>
      </c>
      <c r="E20" s="9">
        <v>1</v>
      </c>
      <c r="P20" s="4" t="s">
        <v>25</v>
      </c>
      <c r="Q20">
        <v>1607</v>
      </c>
      <c r="S20">
        <v>366</v>
      </c>
      <c r="T20">
        <f>GETPIVOTDATA("[Measures].[Count of Amount]",$S$19)</f>
        <v>366</v>
      </c>
      <c r="Z20" s="4" t="s">
        <v>25</v>
      </c>
      <c r="AA20">
        <v>1782570</v>
      </c>
    </row>
  </sheetData>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opLeftCell="A7" workbookViewId="0">
      <selection activeCell="E2" sqref="E2"/>
    </sheetView>
  </sheetViews>
  <sheetFormatPr defaultRowHeight="15" x14ac:dyDescent="0.25"/>
  <cols>
    <col min="2" max="2" width="12.425781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SALESMAN</vt:lpstr>
      <vt:lpstr>PRODUCT</vt:lpstr>
      <vt:lpstr>DASHBOARD</vt:lpstr>
      <vt:lpstr>Sheet4</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2026-09-01T03:42:09Z</dcterms:created>
  <dcterms:modified xsi:type="dcterms:W3CDTF">2026-09-17T08:13:23Z</dcterms:modified>
</cp:coreProperties>
</file>